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FTN\"/>
    </mc:Choice>
  </mc:AlternateContent>
  <xr:revisionPtr revIDLastSave="0" documentId="13_ncr:1_{9EFC01A6-1DB8-4E7D-B988-6499CE265CEB}" xr6:coauthVersionLast="47" xr6:coauthVersionMax="47" xr10:uidLastSave="{00000000-0000-0000-0000-000000000000}"/>
  <bookViews>
    <workbookView xWindow="-108" yWindow="-108" windowWidth="23256" windowHeight="12456" tabRatio="836" xr2:uid="{B430F305-06C2-4799-BE7C-6E9D28374C77}"/>
  </bookViews>
  <sheets>
    <sheet name="Dashboard" sheetId="1" r:id="rId1"/>
    <sheet name="Customers" sheetId="2" r:id="rId2"/>
    <sheet name="Vendors" sheetId="3" r:id="rId3"/>
    <sheet name="Products" sheetId="4" r:id="rId4"/>
    <sheet name="New Entry" sheetId="5" r:id="rId5"/>
    <sheet name="Purchase" sheetId="6" r:id="rId6"/>
    <sheet name="Sales" sheetId="7" r:id="rId7"/>
    <sheet name="Inventory" sheetId="8" r:id="rId8"/>
    <sheet name="pivot" sheetId="9" r:id="rId9"/>
  </sheets>
  <definedNames>
    <definedName name="Cust_ID">customersdata[Cust_ID]</definedName>
    <definedName name="HSNCode">Table4[HSN Code]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  <pivotCache cacheId="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7" l="1"/>
  <c r="E17" i="6"/>
  <c r="F17" i="6"/>
  <c r="I17" i="6"/>
  <c r="J17" i="6" s="1"/>
  <c r="E19" i="7"/>
  <c r="E20" i="7"/>
  <c r="E21" i="7"/>
  <c r="G19" i="7"/>
  <c r="G20" i="7"/>
  <c r="G21" i="7"/>
  <c r="I19" i="7"/>
  <c r="I20" i="7"/>
  <c r="I21" i="7"/>
  <c r="K19" i="7"/>
  <c r="K20" i="7"/>
  <c r="K21" i="7"/>
  <c r="L19" i="7"/>
  <c r="L20" i="7"/>
  <c r="L21" i="7"/>
  <c r="G18" i="7"/>
  <c r="K18" i="7"/>
  <c r="L18" i="7" s="1"/>
  <c r="E18" i="6"/>
  <c r="E19" i="6"/>
  <c r="E20" i="6"/>
  <c r="E21" i="6"/>
  <c r="E22" i="6"/>
  <c r="F18" i="6"/>
  <c r="F19" i="6"/>
  <c r="F20" i="6"/>
  <c r="F21" i="6"/>
  <c r="F22" i="6"/>
  <c r="I18" i="6"/>
  <c r="J18" i="6" s="1"/>
  <c r="I19" i="6"/>
  <c r="I20" i="6"/>
  <c r="I21" i="6"/>
  <c r="I22" i="6"/>
  <c r="J19" i="6"/>
  <c r="J20" i="6"/>
  <c r="J21" i="6"/>
  <c r="J22" i="6"/>
  <c r="E14" i="7"/>
  <c r="E15" i="7"/>
  <c r="E16" i="7"/>
  <c r="E17" i="7"/>
  <c r="G14" i="7"/>
  <c r="G15" i="7"/>
  <c r="G16" i="7"/>
  <c r="G17" i="7"/>
  <c r="K14" i="7"/>
  <c r="K15" i="7"/>
  <c r="K16" i="7"/>
  <c r="L16" i="7" s="1"/>
  <c r="K17" i="7"/>
  <c r="L17" i="7" s="1"/>
  <c r="L14" i="7"/>
  <c r="L15" i="7"/>
  <c r="C17" i="9"/>
  <c r="C12" i="9"/>
  <c r="C20" i="9" s="1"/>
  <c r="C9" i="9"/>
  <c r="C6" i="9"/>
  <c r="C3" i="9"/>
  <c r="E16" i="6"/>
  <c r="F16" i="6"/>
  <c r="I16" i="6"/>
  <c r="J16" i="6" s="1"/>
  <c r="D7" i="8"/>
  <c r="E7" i="8"/>
  <c r="F7" i="8"/>
  <c r="D8" i="8"/>
  <c r="E8" i="8"/>
  <c r="F8" i="8"/>
  <c r="D9" i="8"/>
  <c r="E9" i="8"/>
  <c r="F9" i="8"/>
  <c r="D10" i="8"/>
  <c r="E10" i="8"/>
  <c r="F10" i="8"/>
  <c r="D11" i="8"/>
  <c r="E11" i="8"/>
  <c r="F11" i="8"/>
  <c r="D12" i="8"/>
  <c r="E12" i="8"/>
  <c r="F12" i="8"/>
  <c r="D13" i="8"/>
  <c r="E13" i="8"/>
  <c r="F13" i="8"/>
  <c r="D14" i="8"/>
  <c r="E14" i="8"/>
  <c r="F14" i="8"/>
  <c r="D15" i="8"/>
  <c r="E15" i="8"/>
  <c r="F15" i="8"/>
  <c r="D16" i="8"/>
  <c r="E16" i="8"/>
  <c r="F16" i="8"/>
  <c r="D17" i="8"/>
  <c r="E17" i="8"/>
  <c r="F17" i="8"/>
  <c r="D18" i="8"/>
  <c r="E18" i="8"/>
  <c r="F18" i="8"/>
  <c r="D19" i="8"/>
  <c r="E19" i="8"/>
  <c r="F19" i="8"/>
  <c r="D20" i="8"/>
  <c r="E20" i="8"/>
  <c r="F20" i="8"/>
  <c r="D21" i="8"/>
  <c r="E21" i="8"/>
  <c r="F21" i="8"/>
  <c r="D22" i="8"/>
  <c r="E22" i="8"/>
  <c r="F22" i="8"/>
  <c r="D23" i="8"/>
  <c r="E23" i="8"/>
  <c r="F23" i="8"/>
  <c r="E6" i="8"/>
  <c r="F6" i="8"/>
  <c r="D6" i="8"/>
  <c r="K7" i="7"/>
  <c r="L7" i="7" s="1"/>
  <c r="K8" i="7"/>
  <c r="L8" i="7" s="1"/>
  <c r="K9" i="7"/>
  <c r="L9" i="7" s="1"/>
  <c r="K10" i="7"/>
  <c r="L10" i="7" s="1"/>
  <c r="K11" i="7"/>
  <c r="L11" i="7" s="1"/>
  <c r="K12" i="7"/>
  <c r="L12" i="7" s="1"/>
  <c r="K13" i="7"/>
  <c r="L13" i="7" s="1"/>
  <c r="K6" i="7"/>
  <c r="L6" i="7" s="1"/>
  <c r="G7" i="7"/>
  <c r="G8" i="7"/>
  <c r="G9" i="7"/>
  <c r="G10" i="7"/>
  <c r="G11" i="7"/>
  <c r="G12" i="7"/>
  <c r="G13" i="7"/>
  <c r="G6" i="7"/>
  <c r="E7" i="7"/>
  <c r="E8" i="7"/>
  <c r="E9" i="7"/>
  <c r="E10" i="7"/>
  <c r="E11" i="7"/>
  <c r="E12" i="7"/>
  <c r="E13" i="7"/>
  <c r="E6" i="7"/>
  <c r="E14" i="6"/>
  <c r="E15" i="6"/>
  <c r="F14" i="6"/>
  <c r="F15" i="6"/>
  <c r="I14" i="6"/>
  <c r="J14" i="6" s="1"/>
  <c r="I15" i="6"/>
  <c r="J15" i="6" s="1"/>
  <c r="E13" i="6"/>
  <c r="F13" i="6"/>
  <c r="I13" i="6"/>
  <c r="J13" i="6" s="1"/>
  <c r="E12" i="6"/>
  <c r="F12" i="6"/>
  <c r="I12" i="6"/>
  <c r="J12" i="6" s="1"/>
  <c r="I7" i="6"/>
  <c r="J7" i="6" s="1"/>
  <c r="I8" i="6"/>
  <c r="J8" i="6" s="1"/>
  <c r="I9" i="6"/>
  <c r="J9" i="6" s="1"/>
  <c r="I10" i="6"/>
  <c r="J10" i="6" s="1"/>
  <c r="I11" i="6"/>
  <c r="J11" i="6" s="1"/>
  <c r="I6" i="6"/>
  <c r="J6" i="6" s="1"/>
  <c r="F7" i="6"/>
  <c r="F8" i="6"/>
  <c r="F9" i="6"/>
  <c r="F10" i="6"/>
  <c r="F11" i="6"/>
  <c r="F6" i="6"/>
  <c r="E7" i="6"/>
  <c r="E8" i="6"/>
  <c r="E9" i="6"/>
  <c r="E10" i="6"/>
  <c r="E11" i="6"/>
  <c r="E6" i="6"/>
  <c r="H16" i="8" l="1"/>
  <c r="H17" i="8"/>
  <c r="H18" i="8"/>
  <c r="G17" i="8"/>
  <c r="G16" i="8"/>
  <c r="G18" i="8"/>
  <c r="H10" i="8"/>
  <c r="H14" i="8"/>
  <c r="H9" i="8"/>
  <c r="H11" i="8"/>
  <c r="H15" i="8"/>
  <c r="H8" i="8"/>
  <c r="H12" i="8"/>
  <c r="I12" i="8" s="1"/>
  <c r="H7" i="8"/>
  <c r="H13" i="8"/>
  <c r="H6" i="8"/>
  <c r="G8" i="8"/>
  <c r="G10" i="8"/>
  <c r="G12" i="8"/>
  <c r="G14" i="8"/>
  <c r="G6" i="8"/>
  <c r="G7" i="8"/>
  <c r="G9" i="8"/>
  <c r="G11" i="8"/>
  <c r="G13" i="8"/>
  <c r="G15" i="8"/>
  <c r="I17" i="8" l="1"/>
  <c r="I18" i="8"/>
  <c r="I16" i="8"/>
  <c r="I10" i="8"/>
  <c r="I15" i="8"/>
  <c r="I12" i="7" s="1"/>
  <c r="I8" i="8"/>
  <c r="I9" i="8"/>
  <c r="I14" i="8"/>
  <c r="I6" i="8"/>
  <c r="I7" i="8"/>
  <c r="I11" i="8"/>
  <c r="I13" i="8"/>
  <c r="I17" i="7" l="1"/>
  <c r="I18" i="7"/>
  <c r="J18" i="8"/>
  <c r="K18" i="8"/>
  <c r="K16" i="8"/>
  <c r="J16" i="8"/>
  <c r="J17" i="8"/>
  <c r="K17" i="8"/>
  <c r="K10" i="8"/>
  <c r="J10" i="8"/>
  <c r="K15" i="8"/>
  <c r="J15" i="8"/>
  <c r="K8" i="8"/>
  <c r="J8" i="8"/>
  <c r="I16" i="7"/>
  <c r="K12" i="8"/>
  <c r="J12" i="8"/>
  <c r="K9" i="8"/>
  <c r="J9" i="8"/>
  <c r="K14" i="8"/>
  <c r="J14" i="8"/>
  <c r="I15" i="7"/>
  <c r="K6" i="8"/>
  <c r="J6" i="8"/>
  <c r="K7" i="8"/>
  <c r="J7" i="8"/>
  <c r="K11" i="8"/>
  <c r="J11" i="8"/>
  <c r="K13" i="8"/>
  <c r="J13" i="8"/>
  <c r="I14" i="7"/>
  <c r="I8" i="7"/>
  <c r="I11" i="7"/>
  <c r="I13" i="7"/>
  <c r="I10" i="7"/>
  <c r="I7" i="7"/>
  <c r="I9" i="7"/>
  <c r="I6" i="7"/>
  <c r="I8" i="1" l="1" a="1"/>
  <c r="I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<sst xmlns="http://schemas.openxmlformats.org/spreadsheetml/2006/main" count="205" uniqueCount="95">
  <si>
    <t xml:space="preserve"> </t>
  </si>
  <si>
    <t>Cust_ID</t>
  </si>
  <si>
    <t>Name</t>
  </si>
  <si>
    <t>Email</t>
  </si>
  <si>
    <t>Address</t>
  </si>
  <si>
    <t>Ram sales</t>
  </si>
  <si>
    <t>Ram@gmail.com</t>
  </si>
  <si>
    <t>Delhi, India</t>
  </si>
  <si>
    <t>Atul Ltd.</t>
  </si>
  <si>
    <t>Atu@gmail.com</t>
  </si>
  <si>
    <t>121102, Palwal, HR</t>
  </si>
  <si>
    <t>MK Tech.</t>
  </si>
  <si>
    <t>MK @gmail.com</t>
  </si>
  <si>
    <t>Faridabad, 121101</t>
  </si>
  <si>
    <t>99store</t>
  </si>
  <si>
    <t>99s@gmail.com</t>
  </si>
  <si>
    <t>Agra, UP</t>
  </si>
  <si>
    <t>Rajesh Kumar</t>
  </si>
  <si>
    <t>Raj@gmail.com</t>
  </si>
  <si>
    <t>New Delhi, 110011</t>
  </si>
  <si>
    <t xml:space="preserve">Amit </t>
  </si>
  <si>
    <t>Ami@gmail.com</t>
  </si>
  <si>
    <t>Gurgaon, Sec-15</t>
  </si>
  <si>
    <t>Jain Tel.</t>
  </si>
  <si>
    <t>Jai@gmail.com</t>
  </si>
  <si>
    <t>Janpath, New Delhi</t>
  </si>
  <si>
    <t>HSN Code</t>
  </si>
  <si>
    <t>Product Name</t>
  </si>
  <si>
    <t>Vendor Name</t>
  </si>
  <si>
    <t>Phone</t>
  </si>
  <si>
    <t>N1001</t>
  </si>
  <si>
    <t>Smart Watch</t>
  </si>
  <si>
    <t>Tech99</t>
  </si>
  <si>
    <t>9812xxxxxx</t>
  </si>
  <si>
    <t>N1002</t>
  </si>
  <si>
    <t>Laptop HP xyz i5</t>
  </si>
  <si>
    <t>Faridabad, 121102</t>
  </si>
  <si>
    <t>N1003</t>
  </si>
  <si>
    <t>Wireless Printer</t>
  </si>
  <si>
    <t>Faridabad, 121103</t>
  </si>
  <si>
    <t>N1004</t>
  </si>
  <si>
    <t>Desktop</t>
  </si>
  <si>
    <t>GG Traders</t>
  </si>
  <si>
    <t>9813xxxxxx</t>
  </si>
  <si>
    <t>N1005</t>
  </si>
  <si>
    <t>Mouse</t>
  </si>
  <si>
    <t>Gurgaon, Sec-16</t>
  </si>
  <si>
    <t>N1006</t>
  </si>
  <si>
    <t>Rgb Keyboard</t>
  </si>
  <si>
    <t>Gurgaon, Sec-17</t>
  </si>
  <si>
    <t>N1007</t>
  </si>
  <si>
    <t>Camera</t>
  </si>
  <si>
    <t>Gurgaon, Sec-18</t>
  </si>
  <si>
    <t>N1008</t>
  </si>
  <si>
    <t>Headphones</t>
  </si>
  <si>
    <t>Compac</t>
  </si>
  <si>
    <t>9814xxxxxx</t>
  </si>
  <si>
    <t>New Delhi, 110012</t>
  </si>
  <si>
    <t>N1009</t>
  </si>
  <si>
    <t>Speakers</t>
  </si>
  <si>
    <t>New Delhi, 110013</t>
  </si>
  <si>
    <t>N1010</t>
  </si>
  <si>
    <t>Tablets</t>
  </si>
  <si>
    <t>New Delhi, 110014</t>
  </si>
  <si>
    <t>Cost</t>
  </si>
  <si>
    <t>Selling Price</t>
  </si>
  <si>
    <t>➡️ Purchase Entry</t>
  </si>
  <si>
    <t>➡️ Sales Entry</t>
  </si>
  <si>
    <t>Vendor</t>
  </si>
  <si>
    <t>Date</t>
  </si>
  <si>
    <t>Units</t>
  </si>
  <si>
    <t>Amount</t>
  </si>
  <si>
    <t>Cust_Name</t>
  </si>
  <si>
    <t>Stock(Units)</t>
  </si>
  <si>
    <t>Price</t>
  </si>
  <si>
    <t>P Units</t>
  </si>
  <si>
    <t>S Units</t>
  </si>
  <si>
    <t>Stock</t>
  </si>
  <si>
    <t>notifications</t>
  </si>
  <si>
    <t xml:space="preserve">  Notifications !</t>
  </si>
  <si>
    <t>Count of Name</t>
  </si>
  <si>
    <t>Customers</t>
  </si>
  <si>
    <t>Count of Product Name</t>
  </si>
  <si>
    <t>Products</t>
  </si>
  <si>
    <t>Sum of Amount</t>
  </si>
  <si>
    <t>Purchase amt.</t>
  </si>
  <si>
    <t>Sales Amt.</t>
  </si>
  <si>
    <t>Stock Amt.</t>
  </si>
  <si>
    <t>Sum of Stock Amt.</t>
  </si>
  <si>
    <t>Stock Amt</t>
  </si>
  <si>
    <t>P / L</t>
  </si>
  <si>
    <t>Row Labels</t>
  </si>
  <si>
    <t>Grand Total</t>
  </si>
  <si>
    <t>Sum of Units</t>
  </si>
  <si>
    <t>Sum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</si>
</sst>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₹&quot;\ * #,##0_ ;_ &quot;₹&quot;\ * \-#,##0_ ;_ &quot;₹&quot;\ * &quot;-&quot;_ ;_ @_ "/>
    <numFmt numFmtId="164" formatCode="&quot;₹&quot;\ #,##0"/>
  </numFmts>
  <fonts count="6" x14ac:knownFonts="1"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20"/>
      <color theme="10"/>
      <name val="Aptos Narrow"/>
      <family val="2"/>
      <scheme val="minor"/>
    </font>
    <font>
      <u/>
      <sz val="20"/>
      <color theme="1"/>
      <name val="Aptos Narrow"/>
      <family val="2"/>
      <scheme val="minor"/>
    </font>
    <font>
      <sz val="12"/>
      <color theme="1"/>
      <name val="Bahnschrift SemiLight Condensed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42" fontId="2" fillId="2" borderId="0" xfId="0" applyNumberFormat="1" applyFont="1" applyFill="1"/>
    <xf numFmtId="0" fontId="4" fillId="2" borderId="0" xfId="1" applyFont="1" applyFill="1"/>
    <xf numFmtId="14" fontId="2" fillId="2" borderId="0" xfId="0" applyNumberFormat="1" applyFont="1" applyFill="1"/>
    <xf numFmtId="0" fontId="0" fillId="5" borderId="0" xfId="0" applyFill="1"/>
    <xf numFmtId="4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3" borderId="2" xfId="0" applyFont="1" applyFill="1" applyBorder="1" applyAlignment="1">
      <alignment horizontal="left" indent="1"/>
    </xf>
    <xf numFmtId="0" fontId="5" fillId="3" borderId="3" xfId="0" applyFont="1" applyFill="1" applyBorder="1" applyAlignment="1">
      <alignment horizontal="left" indent="1"/>
    </xf>
    <xf numFmtId="0" fontId="1" fillId="4" borderId="4" xfId="0" applyFont="1" applyFill="1" applyBorder="1"/>
    <xf numFmtId="164" fontId="2" fillId="2" borderId="0" xfId="0" applyNumberFormat="1" applyFont="1" applyFill="1"/>
  </cellXfs>
  <cellStyles count="2">
    <cellStyle name="Hyperlink" xfId="1" builtinId="8"/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164" formatCode="&quot;₹&quot;\ #,##0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32" formatCode="_ &quot;₹&quot;\ * #,##0_ ;_ &quot;₹&quot;\ * \-#,##0_ ;_ &quot;₹&quot;\ * &quot;-&quot;_ ;_ @_ 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colors>
    <mruColors>
      <color rgb="FFD5E7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10" Type="http://schemas.openxmlformats.org/officeDocument/2006/relationships/pivotCacheDefinition" Target="pivotCache/pivotCacheDefinition1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system.xlsx]pivot!PivotTable17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146085397861851"/>
          <c:y val="0.26119718309859152"/>
          <c:w val="0.53935215415146276"/>
          <c:h val="0.661338028169014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pivot!$E$3:$E$8</c:f>
              <c:strCache>
                <c:ptCount val="5"/>
                <c:pt idx="0">
                  <c:v>Atul Ltd.</c:v>
                </c:pt>
                <c:pt idx="1">
                  <c:v>Amit </c:v>
                </c:pt>
                <c:pt idx="2">
                  <c:v>Rajesh Kumar</c:v>
                </c:pt>
                <c:pt idx="3">
                  <c:v>MK Tech.</c:v>
                </c:pt>
                <c:pt idx="4">
                  <c:v>99store</c:v>
                </c:pt>
              </c:strCache>
            </c:strRef>
          </c:cat>
          <c:val>
            <c:numRef>
              <c:f>pivot!$F$3:$F$8</c:f>
              <c:numCache>
                <c:formatCode>_("₹"* #,##0_);_("₹"* \(#,##0\);_("₹"* "-"_);_(@_)</c:formatCode>
                <c:ptCount val="5"/>
                <c:pt idx="0">
                  <c:v>252000</c:v>
                </c:pt>
                <c:pt idx="1">
                  <c:v>362400</c:v>
                </c:pt>
                <c:pt idx="2">
                  <c:v>405096</c:v>
                </c:pt>
                <c:pt idx="3">
                  <c:v>579600</c:v>
                </c:pt>
                <c:pt idx="4">
                  <c:v>1400292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3-4AF9-BD65-3DB0F0E19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7735935"/>
        <c:axId val="1307736415"/>
      </c:barChart>
      <c:catAx>
        <c:axId val="130773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6415"/>
        <c:crosses val="autoZero"/>
        <c:auto val="1"/>
        <c:lblAlgn val="ctr"/>
        <c:lblOffset val="100"/>
        <c:noMultiLvlLbl val="0"/>
      </c:catAx>
      <c:valAx>
        <c:axId val="13077364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_);_(&quot;₹&quot;* \(#,##0\);_(&quot;₹&quot;* &quot;-&quot;_);_(@_)" sourceLinked="1"/>
        <c:majorTickMark val="none"/>
        <c:minorTickMark val="none"/>
        <c:tickLblPos val="nextTo"/>
        <c:crossAx val="130773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system.xlsx]pivot!PivotTable18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pivot!$E$13:$E$18</c:f>
              <c:strCache>
                <c:ptCount val="5"/>
                <c:pt idx="0">
                  <c:v>Laptop HP xyz i5</c:v>
                </c:pt>
                <c:pt idx="1">
                  <c:v>Rgb Keyboard</c:v>
                </c:pt>
                <c:pt idx="2">
                  <c:v>Headphones</c:v>
                </c:pt>
                <c:pt idx="3">
                  <c:v>Speakers</c:v>
                </c:pt>
                <c:pt idx="4">
                  <c:v>Desktop</c:v>
                </c:pt>
              </c:strCache>
            </c:strRef>
          </c:cat>
          <c:val>
            <c:numRef>
              <c:f>pivot!$F$13:$F$18</c:f>
              <c:numCache>
                <c:formatCode>General</c:formatCode>
                <c:ptCount val="5"/>
                <c:pt idx="0">
                  <c:v>14</c:v>
                </c:pt>
                <c:pt idx="1">
                  <c:v>37</c:v>
                </c:pt>
                <c:pt idx="2">
                  <c:v>42</c:v>
                </c:pt>
                <c:pt idx="3">
                  <c:v>52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B-418D-A1A4-5E5DA9281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6435583"/>
        <c:axId val="1396436063"/>
      </c:barChart>
      <c:catAx>
        <c:axId val="1396435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36063"/>
        <c:crosses val="autoZero"/>
        <c:auto val="1"/>
        <c:lblAlgn val="ctr"/>
        <c:lblOffset val="100"/>
        <c:noMultiLvlLbl val="0"/>
      </c:catAx>
      <c:valAx>
        <c:axId val="139643606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9643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system.xlsx]pivot!PivotTable19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 Available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pivot!$E$22:$E$32</c:f>
              <c:strCache>
                <c:ptCount val="10"/>
                <c:pt idx="0">
                  <c:v>Camera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xyz i5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</c:strCache>
            </c:strRef>
          </c:cat>
          <c:val>
            <c:numRef>
              <c:f>pivot!$F$22:$F$32</c:f>
              <c:numCache>
                <c:formatCode>General</c:formatCode>
                <c:ptCount val="10"/>
                <c:pt idx="0">
                  <c:v>14</c:v>
                </c:pt>
                <c:pt idx="1">
                  <c:v>35</c:v>
                </c:pt>
                <c:pt idx="2">
                  <c:v>13</c:v>
                </c:pt>
                <c:pt idx="3">
                  <c:v>16</c:v>
                </c:pt>
                <c:pt idx="4">
                  <c:v>20</c:v>
                </c:pt>
                <c:pt idx="5">
                  <c:v>13</c:v>
                </c:pt>
                <c:pt idx="6">
                  <c:v>36</c:v>
                </c:pt>
                <c:pt idx="7">
                  <c:v>3</c:v>
                </c:pt>
                <c:pt idx="8">
                  <c:v>32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B-49B9-A901-1AB5B4224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211775"/>
        <c:axId val="1307731615"/>
      </c:barChart>
      <c:catAx>
        <c:axId val="130821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1615"/>
        <c:crosses val="autoZero"/>
        <c:auto val="1"/>
        <c:lblAlgn val="ctr"/>
        <c:lblOffset val="100"/>
        <c:noMultiLvlLbl val="0"/>
      </c:catAx>
      <c:valAx>
        <c:axId val="13077316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0821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system.xlsx]pivot!PivotTable17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pivot!$E$3:$E$8</c:f>
              <c:strCache>
                <c:ptCount val="5"/>
                <c:pt idx="0">
                  <c:v>Atul Ltd.</c:v>
                </c:pt>
                <c:pt idx="1">
                  <c:v>Amit </c:v>
                </c:pt>
                <c:pt idx="2">
                  <c:v>Rajesh Kumar</c:v>
                </c:pt>
                <c:pt idx="3">
                  <c:v>MK Tech.</c:v>
                </c:pt>
                <c:pt idx="4">
                  <c:v>99store</c:v>
                </c:pt>
              </c:strCache>
            </c:strRef>
          </c:cat>
          <c:val>
            <c:numRef>
              <c:f>pivot!$F$3:$F$8</c:f>
              <c:numCache>
                <c:formatCode>_("₹"* #,##0_);_("₹"* \(#,##0\);_("₹"* "-"_);_(@_)</c:formatCode>
                <c:ptCount val="5"/>
                <c:pt idx="0">
                  <c:v>252000</c:v>
                </c:pt>
                <c:pt idx="1">
                  <c:v>362400</c:v>
                </c:pt>
                <c:pt idx="2">
                  <c:v>405096</c:v>
                </c:pt>
                <c:pt idx="3">
                  <c:v>579600</c:v>
                </c:pt>
                <c:pt idx="4">
                  <c:v>1400292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B-4DF0-8B9E-86D1273C3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7735935"/>
        <c:axId val="1307736415"/>
      </c:barChart>
      <c:catAx>
        <c:axId val="130773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6415"/>
        <c:crosses val="autoZero"/>
        <c:auto val="1"/>
        <c:lblAlgn val="ctr"/>
        <c:lblOffset val="100"/>
        <c:noMultiLvlLbl val="0"/>
      </c:catAx>
      <c:valAx>
        <c:axId val="13077364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_);_(&quot;₹&quot;* \(#,##0\);_(&quot;₹&quot;* &quot;-&quot;_);_(@_)" sourceLinked="1"/>
        <c:majorTickMark val="none"/>
        <c:minorTickMark val="none"/>
        <c:tickLblPos val="nextTo"/>
        <c:crossAx val="130773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system.xlsx]pivot!PivotTable18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pivot!$E$13:$E$18</c:f>
              <c:strCache>
                <c:ptCount val="5"/>
                <c:pt idx="0">
                  <c:v>Laptop HP xyz i5</c:v>
                </c:pt>
                <c:pt idx="1">
                  <c:v>Rgb Keyboard</c:v>
                </c:pt>
                <c:pt idx="2">
                  <c:v>Headphones</c:v>
                </c:pt>
                <c:pt idx="3">
                  <c:v>Speakers</c:v>
                </c:pt>
                <c:pt idx="4">
                  <c:v>Desktop</c:v>
                </c:pt>
              </c:strCache>
            </c:strRef>
          </c:cat>
          <c:val>
            <c:numRef>
              <c:f>pivot!$F$13:$F$18</c:f>
              <c:numCache>
                <c:formatCode>General</c:formatCode>
                <c:ptCount val="5"/>
                <c:pt idx="0">
                  <c:v>14</c:v>
                </c:pt>
                <c:pt idx="1">
                  <c:v>37</c:v>
                </c:pt>
                <c:pt idx="2">
                  <c:v>42</c:v>
                </c:pt>
                <c:pt idx="3">
                  <c:v>52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5-45CF-B683-2375C167F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6435583"/>
        <c:axId val="1396436063"/>
      </c:barChart>
      <c:catAx>
        <c:axId val="1396435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436063"/>
        <c:crosses val="autoZero"/>
        <c:auto val="1"/>
        <c:lblAlgn val="ctr"/>
        <c:lblOffset val="100"/>
        <c:noMultiLvlLbl val="0"/>
      </c:catAx>
      <c:valAx>
        <c:axId val="139643606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9643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system.xlsx]pivot!PivotTable19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pivot!$F$21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pivot!$E$22:$E$32</c:f>
              <c:strCache>
                <c:ptCount val="10"/>
                <c:pt idx="0">
                  <c:v>Camera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xyz i5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</c:strCache>
            </c:strRef>
          </c:cat>
          <c:val>
            <c:numRef>
              <c:f>pivot!$F$22:$F$32</c:f>
              <c:numCache>
                <c:formatCode>General</c:formatCode>
                <c:ptCount val="10"/>
                <c:pt idx="0">
                  <c:v>14</c:v>
                </c:pt>
                <c:pt idx="1">
                  <c:v>35</c:v>
                </c:pt>
                <c:pt idx="2">
                  <c:v>13</c:v>
                </c:pt>
                <c:pt idx="3">
                  <c:v>16</c:v>
                </c:pt>
                <c:pt idx="4">
                  <c:v>20</c:v>
                </c:pt>
                <c:pt idx="5">
                  <c:v>13</c:v>
                </c:pt>
                <c:pt idx="6">
                  <c:v>36</c:v>
                </c:pt>
                <c:pt idx="7">
                  <c:v>3</c:v>
                </c:pt>
                <c:pt idx="8">
                  <c:v>32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0-4EB4-A76D-D7BEFA2E5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8211775"/>
        <c:axId val="1307731615"/>
      </c:barChart>
      <c:catAx>
        <c:axId val="130821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731615"/>
        <c:crosses val="autoZero"/>
        <c:auto val="1"/>
        <c:lblAlgn val="ctr"/>
        <c:lblOffset val="100"/>
        <c:noMultiLvlLbl val="0"/>
      </c:catAx>
      <c:valAx>
        <c:axId val="130773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211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1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29" Type="http://schemas.openxmlformats.org/officeDocument/2006/relationships/chart" Target="../charts/chart3.xml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16.svg"/><Relationship Id="rId5" Type="http://schemas.openxmlformats.org/officeDocument/2006/relationships/image" Target="../media/image4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28" Type="http://schemas.openxmlformats.org/officeDocument/2006/relationships/chart" Target="../charts/chart2.xml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3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Relationship Id="rId27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21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22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6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2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8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2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30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29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32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31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5.png"/><Relationship Id="rId18" Type="http://schemas.openxmlformats.org/officeDocument/2006/relationships/image" Target="../media/image34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33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6.svg"/><Relationship Id="rId22" Type="http://schemas.openxmlformats.org/officeDocument/2006/relationships/image" Target="../media/image14.sv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Products!A1"/><Relationship Id="rId13" Type="http://schemas.openxmlformats.org/officeDocument/2006/relationships/image" Target="../media/image35.png"/><Relationship Id="rId18" Type="http://schemas.openxmlformats.org/officeDocument/2006/relationships/image" Target="../media/image10.svg"/><Relationship Id="rId26" Type="http://schemas.openxmlformats.org/officeDocument/2006/relationships/image" Target="../media/image24.svg"/><Relationship Id="rId3" Type="http://schemas.openxmlformats.org/officeDocument/2006/relationships/hyperlink" Target="#Dashboard!A1"/><Relationship Id="rId21" Type="http://schemas.openxmlformats.org/officeDocument/2006/relationships/image" Target="../media/image13.png"/><Relationship Id="rId7" Type="http://schemas.openxmlformats.org/officeDocument/2006/relationships/hyperlink" Target="#Vendors!A1"/><Relationship Id="rId12" Type="http://schemas.openxmlformats.org/officeDocument/2006/relationships/hyperlink" Target="#Inventory!A1"/><Relationship Id="rId17" Type="http://schemas.openxmlformats.org/officeDocument/2006/relationships/image" Target="../media/image9.png"/><Relationship Id="rId25" Type="http://schemas.openxmlformats.org/officeDocument/2006/relationships/image" Target="../media/image17.png"/><Relationship Id="rId2" Type="http://schemas.openxmlformats.org/officeDocument/2006/relationships/image" Target="../media/image2.svg"/><Relationship Id="rId16" Type="http://schemas.openxmlformats.org/officeDocument/2006/relationships/image" Target="../media/image8.svg"/><Relationship Id="rId20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hyperlink" Target="#Customers!A1"/><Relationship Id="rId11" Type="http://schemas.openxmlformats.org/officeDocument/2006/relationships/hyperlink" Target="#Sales!A1"/><Relationship Id="rId24" Type="http://schemas.openxmlformats.org/officeDocument/2006/relationships/image" Target="../media/image23.svg"/><Relationship Id="rId5" Type="http://schemas.openxmlformats.org/officeDocument/2006/relationships/image" Target="../media/image20.svg"/><Relationship Id="rId15" Type="http://schemas.openxmlformats.org/officeDocument/2006/relationships/image" Target="../media/image7.png"/><Relationship Id="rId23" Type="http://schemas.openxmlformats.org/officeDocument/2006/relationships/image" Target="../media/image15.png"/><Relationship Id="rId10" Type="http://schemas.openxmlformats.org/officeDocument/2006/relationships/hyperlink" Target="#Purchase!A1"/><Relationship Id="rId19" Type="http://schemas.openxmlformats.org/officeDocument/2006/relationships/image" Target="../media/image11.png"/><Relationship Id="rId4" Type="http://schemas.openxmlformats.org/officeDocument/2006/relationships/image" Target="../media/image19.png"/><Relationship Id="rId9" Type="http://schemas.openxmlformats.org/officeDocument/2006/relationships/hyperlink" Target="#'New Entry'!A1"/><Relationship Id="rId14" Type="http://schemas.openxmlformats.org/officeDocument/2006/relationships/image" Target="../media/image36.svg"/><Relationship Id="rId22" Type="http://schemas.openxmlformats.org/officeDocument/2006/relationships/image" Target="../media/image14.sv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3" name="Graphic 2" descr="Search Inventory with solid fill">
          <a:extLst>
            <a:ext uri="{FF2B5EF4-FFF2-40B4-BE49-F238E27FC236}">
              <a16:creationId xmlns:a16="http://schemas.microsoft.com/office/drawing/2014/main" id="{3685F74A-8E6C-FF78-EBF8-889B0C3CB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ED118D9-4CE1-7DFD-9219-6E8D8F91A799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7" name="Rectangl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6D44AC-DD1D-8784-E340-E5BCD02AE034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9" name="Graphic 8" descr="Presentation with bar chart with solid fill">
          <a:extLst>
            <a:ext uri="{FF2B5EF4-FFF2-40B4-BE49-F238E27FC236}">
              <a16:creationId xmlns:a16="http://schemas.microsoft.com/office/drawing/2014/main" id="{397C9F88-E623-D05D-5945-C8FFD90DD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10" name="Rectangl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C6828C3-AD3C-5811-5305-B5CF2781D52D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11" name="Rectangle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DBB7202-F41F-4181-DE64-DE20F55E083D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12" name="Rectangle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DE37837-3671-849A-FDA3-A28C57C8CB6C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13" name="Rectangle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C6EE874-A155-0F29-C793-575C2576250B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4" name="Rectangle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E8CAF23-6EC7-30A7-7128-53BC6BC89C75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5" name="Rectangle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A092771-3EFE-0A83-36E7-29DB4D4B837C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6" name="Rectangle 1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8768FBD-83D6-0AA4-A34B-1D09EBDEB075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8" name="Graphic 17" descr="Clipboard Partially Checked with solid fill">
          <a:extLst>
            <a:ext uri="{FF2B5EF4-FFF2-40B4-BE49-F238E27FC236}">
              <a16:creationId xmlns:a16="http://schemas.microsoft.com/office/drawing/2014/main" id="{E1053182-FB73-B1F9-E84B-DF5E0A60F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20" name="Graphic 19" descr="Receipt with solid fill">
          <a:extLst>
            <a:ext uri="{FF2B5EF4-FFF2-40B4-BE49-F238E27FC236}">
              <a16:creationId xmlns:a16="http://schemas.microsoft.com/office/drawing/2014/main" id="{FA516D17-52D2-AE6D-6956-CCFBB5264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22" name="Graphic 21" descr="Register with solid fill">
          <a:extLst>
            <a:ext uri="{FF2B5EF4-FFF2-40B4-BE49-F238E27FC236}">
              <a16:creationId xmlns:a16="http://schemas.microsoft.com/office/drawing/2014/main" id="{0DAC7CC6-3B56-597B-928F-CA27DF3EB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24" name="Graphic 23" descr="Full Brick Wall with solid fill">
          <a:extLst>
            <a:ext uri="{FF2B5EF4-FFF2-40B4-BE49-F238E27FC236}">
              <a16:creationId xmlns:a16="http://schemas.microsoft.com/office/drawing/2014/main" id="{0088C376-BF06-9457-2B40-2DF9FC0BA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26" name="Graphic 25" descr="User with solid fill">
          <a:extLst>
            <a:ext uri="{FF2B5EF4-FFF2-40B4-BE49-F238E27FC236}">
              <a16:creationId xmlns:a16="http://schemas.microsoft.com/office/drawing/2014/main" id="{CC89904F-F49F-DA71-4ADF-BAC57CA8D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28" name="Graphic 27" descr="User outline">
          <a:extLst>
            <a:ext uri="{FF2B5EF4-FFF2-40B4-BE49-F238E27FC236}">
              <a16:creationId xmlns:a16="http://schemas.microsoft.com/office/drawing/2014/main" id="{78FFB26C-7CD6-FE8B-54E5-943675CD5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30" name="Graphic 29" descr="Inventory outline">
          <a:extLst>
            <a:ext uri="{FF2B5EF4-FFF2-40B4-BE49-F238E27FC236}">
              <a16:creationId xmlns:a16="http://schemas.microsoft.com/office/drawing/2014/main" id="{EC9AA550-8C81-B0CD-2B74-710010BDE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9</xdr:col>
      <xdr:colOff>0</xdr:colOff>
      <xdr:row>3</xdr:row>
      <xdr:rowOff>19050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A2DCAF39-0412-A7FD-D831-AD466CC40F64}"/>
            </a:ext>
          </a:extLst>
        </xdr:cNvPr>
        <xdr:cNvSpPr/>
      </xdr:nvSpPr>
      <xdr:spPr>
        <a:xfrm>
          <a:off x="2273300" y="336550"/>
          <a:ext cx="95821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Inventory Management System </a:t>
          </a:r>
        </a:p>
      </xdr:txBody>
    </xdr:sp>
    <xdr:clientData/>
  </xdr:twoCellAnchor>
  <xdr:twoCellAnchor editAs="absolute">
    <xdr:from>
      <xdr:col>3</xdr:col>
      <xdr:colOff>6350</xdr:colOff>
      <xdr:row>3</xdr:row>
      <xdr:rowOff>196850</xdr:rowOff>
    </xdr:from>
    <xdr:to>
      <xdr:col>4</xdr:col>
      <xdr:colOff>311150</xdr:colOff>
      <xdr:row>5</xdr:row>
      <xdr:rowOff>139700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C818032-15FF-0D02-386A-58EAB51A88E7}"/>
            </a:ext>
          </a:extLst>
        </xdr:cNvPr>
        <xdr:cNvSpPr/>
      </xdr:nvSpPr>
      <xdr:spPr>
        <a:xfrm>
          <a:off x="2279650" y="118745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Customers</a:t>
          </a:r>
        </a:p>
      </xdr:txBody>
    </xdr:sp>
    <xdr:clientData/>
  </xdr:twoCellAnchor>
  <xdr:twoCellAnchor editAs="absolute">
    <xdr:from>
      <xdr:col>3</xdr:col>
      <xdr:colOff>6350</xdr:colOff>
      <xdr:row>3</xdr:row>
      <xdr:rowOff>196850</xdr:rowOff>
    </xdr:from>
    <xdr:to>
      <xdr:col>3</xdr:col>
      <xdr:colOff>177800</xdr:colOff>
      <xdr:row>5</xdr:row>
      <xdr:rowOff>139700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F29A1A0-5D0E-CDE5-7F77-E57436AD0F33}"/>
            </a:ext>
          </a:extLst>
        </xdr:cNvPr>
        <xdr:cNvSpPr/>
      </xdr:nvSpPr>
      <xdr:spPr>
        <a:xfrm>
          <a:off x="2279650" y="1187450"/>
          <a:ext cx="171450" cy="6032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4</xdr:col>
      <xdr:colOff>527050</xdr:colOff>
      <xdr:row>3</xdr:row>
      <xdr:rowOff>196850</xdr:rowOff>
    </xdr:from>
    <xdr:to>
      <xdr:col>5</xdr:col>
      <xdr:colOff>831850</xdr:colOff>
      <xdr:row>5</xdr:row>
      <xdr:rowOff>139700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8A0719C-E45C-A614-6FB5-225751D1FD84}"/>
            </a:ext>
          </a:extLst>
        </xdr:cNvPr>
        <xdr:cNvSpPr/>
      </xdr:nvSpPr>
      <xdr:spPr>
        <a:xfrm>
          <a:off x="3917950" y="118745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Products</a:t>
          </a:r>
        </a:p>
      </xdr:txBody>
    </xdr:sp>
    <xdr:clientData/>
  </xdr:twoCellAnchor>
  <xdr:twoCellAnchor editAs="absolute">
    <xdr:from>
      <xdr:col>4</xdr:col>
      <xdr:colOff>527050</xdr:colOff>
      <xdr:row>3</xdr:row>
      <xdr:rowOff>196850</xdr:rowOff>
    </xdr:from>
    <xdr:to>
      <xdr:col>4</xdr:col>
      <xdr:colOff>698500</xdr:colOff>
      <xdr:row>5</xdr:row>
      <xdr:rowOff>139700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9F1EF94F-5A1D-7D8D-BD28-ACA16FBBC3B9}"/>
            </a:ext>
          </a:extLst>
        </xdr:cNvPr>
        <xdr:cNvSpPr/>
      </xdr:nvSpPr>
      <xdr:spPr>
        <a:xfrm>
          <a:off x="3917950" y="1187450"/>
          <a:ext cx="171450" cy="6032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5</xdr:col>
      <xdr:colOff>1016000</xdr:colOff>
      <xdr:row>3</xdr:row>
      <xdr:rowOff>203200</xdr:rowOff>
    </xdr:from>
    <xdr:to>
      <xdr:col>7</xdr:col>
      <xdr:colOff>203200</xdr:colOff>
      <xdr:row>5</xdr:row>
      <xdr:rowOff>146050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19D6237-8BEF-C535-ED14-C9A2337B61B0}"/>
            </a:ext>
          </a:extLst>
        </xdr:cNvPr>
        <xdr:cNvSpPr/>
      </xdr:nvSpPr>
      <xdr:spPr>
        <a:xfrm>
          <a:off x="5524500" y="119380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 baseline="0">
              <a:solidFill>
                <a:schemeClr val="tx1"/>
              </a:solidFill>
            </a:rPr>
            <a:t>     Purchase Amt.</a:t>
          </a:r>
          <a:endParaRPr lang="en-IN" sz="1400" b="0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1016000</xdr:colOff>
      <xdr:row>3</xdr:row>
      <xdr:rowOff>203200</xdr:rowOff>
    </xdr:from>
    <xdr:to>
      <xdr:col>6</xdr:col>
      <xdr:colOff>69850</xdr:colOff>
      <xdr:row>5</xdr:row>
      <xdr:rowOff>146050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25B1090-0B5C-7E60-1CF1-7C60EA2821D9}"/>
            </a:ext>
          </a:extLst>
        </xdr:cNvPr>
        <xdr:cNvSpPr/>
      </xdr:nvSpPr>
      <xdr:spPr>
        <a:xfrm>
          <a:off x="5524500" y="1193800"/>
          <a:ext cx="171450" cy="6032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7</xdr:col>
      <xdr:colOff>431800</xdr:colOff>
      <xdr:row>3</xdr:row>
      <xdr:rowOff>203200</xdr:rowOff>
    </xdr:from>
    <xdr:to>
      <xdr:col>8</xdr:col>
      <xdr:colOff>25400</xdr:colOff>
      <xdr:row>5</xdr:row>
      <xdr:rowOff>146050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701D5908-83EE-1AB1-B862-66C70859E485}"/>
            </a:ext>
          </a:extLst>
        </xdr:cNvPr>
        <xdr:cNvSpPr/>
      </xdr:nvSpPr>
      <xdr:spPr>
        <a:xfrm>
          <a:off x="7175500" y="119380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 baseline="0">
              <a:solidFill>
                <a:schemeClr val="tx1"/>
              </a:solidFill>
            </a:rPr>
            <a:t>     Sales Amt.</a:t>
          </a:r>
          <a:endParaRPr lang="en-IN" sz="1400" b="0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7</xdr:col>
      <xdr:colOff>431800</xdr:colOff>
      <xdr:row>3</xdr:row>
      <xdr:rowOff>203200</xdr:rowOff>
    </xdr:from>
    <xdr:to>
      <xdr:col>7</xdr:col>
      <xdr:colOff>603250</xdr:colOff>
      <xdr:row>5</xdr:row>
      <xdr:rowOff>146050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5CAB2A83-4A7A-93A3-183D-BBA58553FEB0}"/>
            </a:ext>
          </a:extLst>
        </xdr:cNvPr>
        <xdr:cNvSpPr/>
      </xdr:nvSpPr>
      <xdr:spPr>
        <a:xfrm>
          <a:off x="7175500" y="1193800"/>
          <a:ext cx="171450" cy="603250"/>
        </a:xfrm>
        <a:prstGeom prst="rect">
          <a:avLst/>
        </a:prstGeom>
        <a:solidFill>
          <a:srgbClr val="D5E787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8</xdr:col>
      <xdr:colOff>215900</xdr:colOff>
      <xdr:row>3</xdr:row>
      <xdr:rowOff>203200</xdr:rowOff>
    </xdr:from>
    <xdr:to>
      <xdr:col>8</xdr:col>
      <xdr:colOff>1638300</xdr:colOff>
      <xdr:row>5</xdr:row>
      <xdr:rowOff>146050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619E1FC1-E6F5-C8E8-55E9-2FA20241BF6D}"/>
            </a:ext>
          </a:extLst>
        </xdr:cNvPr>
        <xdr:cNvSpPr/>
      </xdr:nvSpPr>
      <xdr:spPr>
        <a:xfrm>
          <a:off x="8788400" y="119380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Proft</a:t>
          </a:r>
          <a:r>
            <a:rPr lang="en-IN" sz="1400" b="0" kern="1200" baseline="0">
              <a:solidFill>
                <a:schemeClr val="tx1"/>
              </a:solidFill>
            </a:rPr>
            <a:t> / Loss</a:t>
          </a:r>
          <a:endParaRPr lang="en-IN" sz="1400" b="0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8</xdr:col>
      <xdr:colOff>215900</xdr:colOff>
      <xdr:row>3</xdr:row>
      <xdr:rowOff>203200</xdr:rowOff>
    </xdr:from>
    <xdr:to>
      <xdr:col>8</xdr:col>
      <xdr:colOff>387350</xdr:colOff>
      <xdr:row>5</xdr:row>
      <xdr:rowOff>146050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49692BC4-7398-85FB-B1C6-05626C4B9981}"/>
            </a:ext>
          </a:extLst>
        </xdr:cNvPr>
        <xdr:cNvSpPr/>
      </xdr:nvSpPr>
      <xdr:spPr>
        <a:xfrm>
          <a:off x="8788400" y="1193800"/>
          <a:ext cx="171450" cy="60325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8</xdr:col>
      <xdr:colOff>1841500</xdr:colOff>
      <xdr:row>3</xdr:row>
      <xdr:rowOff>222250</xdr:rowOff>
    </xdr:from>
    <xdr:to>
      <xdr:col>8</xdr:col>
      <xdr:colOff>3263900</xdr:colOff>
      <xdr:row>5</xdr:row>
      <xdr:rowOff>165100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B6F62980-AE37-2FAC-BB3A-A1B638DF82DF}"/>
            </a:ext>
          </a:extLst>
        </xdr:cNvPr>
        <xdr:cNvSpPr/>
      </xdr:nvSpPr>
      <xdr:spPr>
        <a:xfrm>
          <a:off x="10414000" y="1212850"/>
          <a:ext cx="1422400" cy="603250"/>
        </a:xfrm>
        <a:prstGeom prst="rect">
          <a:avLst/>
        </a:prstGeom>
        <a:solidFill>
          <a:schemeClr val="bg1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0" kern="1200">
              <a:solidFill>
                <a:schemeClr val="tx1"/>
              </a:solidFill>
            </a:rPr>
            <a:t>     Stock Amt.</a:t>
          </a:r>
        </a:p>
      </xdr:txBody>
    </xdr:sp>
    <xdr:clientData/>
  </xdr:twoCellAnchor>
  <xdr:twoCellAnchor editAs="absolute">
    <xdr:from>
      <xdr:col>8</xdr:col>
      <xdr:colOff>1841500</xdr:colOff>
      <xdr:row>3</xdr:row>
      <xdr:rowOff>222250</xdr:rowOff>
    </xdr:from>
    <xdr:to>
      <xdr:col>8</xdr:col>
      <xdr:colOff>2012950</xdr:colOff>
      <xdr:row>5</xdr:row>
      <xdr:rowOff>165100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409C2258-DDEF-C743-CBBB-2F54160F48E8}"/>
            </a:ext>
          </a:extLst>
        </xdr:cNvPr>
        <xdr:cNvSpPr/>
      </xdr:nvSpPr>
      <xdr:spPr>
        <a:xfrm>
          <a:off x="10414000" y="1212850"/>
          <a:ext cx="171450" cy="6032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 editAs="absolute">
    <xdr:from>
      <xdr:col>3</xdr:col>
      <xdr:colOff>209550</xdr:colOff>
      <xdr:row>4</xdr:row>
      <xdr:rowOff>88900</xdr:rowOff>
    </xdr:from>
    <xdr:to>
      <xdr:col>4</xdr:col>
      <xdr:colOff>304800</xdr:colOff>
      <xdr:row>5</xdr:row>
      <xdr:rowOff>120650</xdr:rowOff>
    </xdr:to>
    <xdr:sp macro="" textlink="pivot!C3">
      <xdr:nvSpPr>
        <xdr:cNvPr id="8" name="Rectangle 7">
          <a:extLst>
            <a:ext uri="{FF2B5EF4-FFF2-40B4-BE49-F238E27FC236}">
              <a16:creationId xmlns:a16="http://schemas.microsoft.com/office/drawing/2014/main" id="{C80A8441-0C33-EEB4-9787-899FECCE72D1}"/>
            </a:ext>
          </a:extLst>
        </xdr:cNvPr>
        <xdr:cNvSpPr/>
      </xdr:nvSpPr>
      <xdr:spPr>
        <a:xfrm>
          <a:off x="2482850" y="1409700"/>
          <a:ext cx="121285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431E818-0E4F-424C-B356-5DC6611798FC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7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4</xdr:col>
      <xdr:colOff>711200</xdr:colOff>
      <xdr:row>4</xdr:row>
      <xdr:rowOff>69850</xdr:rowOff>
    </xdr:from>
    <xdr:to>
      <xdr:col>5</xdr:col>
      <xdr:colOff>806450</xdr:colOff>
      <xdr:row>5</xdr:row>
      <xdr:rowOff>101600</xdr:rowOff>
    </xdr:to>
    <xdr:sp macro="" textlink="pivot!C6">
      <xdr:nvSpPr>
        <xdr:cNvPr id="17" name="Rectangle 16">
          <a:extLst>
            <a:ext uri="{FF2B5EF4-FFF2-40B4-BE49-F238E27FC236}">
              <a16:creationId xmlns:a16="http://schemas.microsoft.com/office/drawing/2014/main" id="{11DCD6E7-51F2-40DF-A8AC-9AF7DE5E584C}"/>
            </a:ext>
          </a:extLst>
        </xdr:cNvPr>
        <xdr:cNvSpPr/>
      </xdr:nvSpPr>
      <xdr:spPr>
        <a:xfrm>
          <a:off x="4102100" y="1390650"/>
          <a:ext cx="121285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141D831-845D-448C-963B-57CF26DC58C0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10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6</xdr:col>
      <xdr:colOff>44450</xdr:colOff>
      <xdr:row>4</xdr:row>
      <xdr:rowOff>82550</xdr:rowOff>
    </xdr:from>
    <xdr:to>
      <xdr:col>7</xdr:col>
      <xdr:colOff>1085850</xdr:colOff>
      <xdr:row>5</xdr:row>
      <xdr:rowOff>114300</xdr:rowOff>
    </xdr:to>
    <xdr:sp macro="" textlink="pivot!C9">
      <xdr:nvSpPr>
        <xdr:cNvPr id="23" name="Rectangle 22">
          <a:extLst>
            <a:ext uri="{FF2B5EF4-FFF2-40B4-BE49-F238E27FC236}">
              <a16:creationId xmlns:a16="http://schemas.microsoft.com/office/drawing/2014/main" id="{7696E7A7-4D10-675C-D827-4BC4E2A74F33}"/>
            </a:ext>
          </a:extLst>
        </xdr:cNvPr>
        <xdr:cNvSpPr/>
      </xdr:nvSpPr>
      <xdr:spPr>
        <a:xfrm>
          <a:off x="5670550" y="1403350"/>
          <a:ext cx="21590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94FFB8E-7018-482F-8645-DB37BB1AF293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55,43,995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7</xdr:col>
      <xdr:colOff>590550</xdr:colOff>
      <xdr:row>4</xdr:row>
      <xdr:rowOff>76200</xdr:rowOff>
    </xdr:from>
    <xdr:to>
      <xdr:col>8</xdr:col>
      <xdr:colOff>920750</xdr:colOff>
      <xdr:row>5</xdr:row>
      <xdr:rowOff>107950</xdr:rowOff>
    </xdr:to>
    <xdr:sp macro="" textlink="pivot!C12">
      <xdr:nvSpPr>
        <xdr:cNvPr id="25" name="Rectangle 24">
          <a:extLst>
            <a:ext uri="{FF2B5EF4-FFF2-40B4-BE49-F238E27FC236}">
              <a16:creationId xmlns:a16="http://schemas.microsoft.com/office/drawing/2014/main" id="{38026D47-D858-00C6-3706-02B5426E60BB}"/>
            </a:ext>
          </a:extLst>
        </xdr:cNvPr>
        <xdr:cNvSpPr/>
      </xdr:nvSpPr>
      <xdr:spPr>
        <a:xfrm>
          <a:off x="7334250" y="1397000"/>
          <a:ext cx="21590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3ED01B9-D749-4411-885B-5153067F3E31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30,71,878</a:t>
          </a:fld>
          <a:endParaRPr lang="en-IN" sz="1600" b="1" kern="1200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8</xdr:col>
      <xdr:colOff>393700</xdr:colOff>
      <xdr:row>4</xdr:row>
      <xdr:rowOff>101600</xdr:rowOff>
    </xdr:from>
    <xdr:to>
      <xdr:col>8</xdr:col>
      <xdr:colOff>2552700</xdr:colOff>
      <xdr:row>5</xdr:row>
      <xdr:rowOff>133350</xdr:rowOff>
    </xdr:to>
    <xdr:sp macro="" textlink="pivot!C20">
      <xdr:nvSpPr>
        <xdr:cNvPr id="27" name="Rectangle 26">
          <a:extLst>
            <a:ext uri="{FF2B5EF4-FFF2-40B4-BE49-F238E27FC236}">
              <a16:creationId xmlns:a16="http://schemas.microsoft.com/office/drawing/2014/main" id="{D93608E3-D98F-19BC-8C69-B2A6F182BCF9}"/>
            </a:ext>
          </a:extLst>
        </xdr:cNvPr>
        <xdr:cNvSpPr/>
      </xdr:nvSpPr>
      <xdr:spPr>
        <a:xfrm>
          <a:off x="8966200" y="1422400"/>
          <a:ext cx="21590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FB22794-593B-4611-925E-1F5F14394F6B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5,11,980</a:t>
          </a:fld>
          <a:endParaRPr lang="en-IN" sz="120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2012950</xdr:colOff>
      <xdr:row>4</xdr:row>
      <xdr:rowOff>95250</xdr:rowOff>
    </xdr:from>
    <xdr:to>
      <xdr:col>8</xdr:col>
      <xdr:colOff>3257550</xdr:colOff>
      <xdr:row>5</xdr:row>
      <xdr:rowOff>127000</xdr:rowOff>
    </xdr:to>
    <xdr:sp macro="" textlink="pivot!C17">
      <xdr:nvSpPr>
        <xdr:cNvPr id="29" name="Rectangle 28">
          <a:extLst>
            <a:ext uri="{FF2B5EF4-FFF2-40B4-BE49-F238E27FC236}">
              <a16:creationId xmlns:a16="http://schemas.microsoft.com/office/drawing/2014/main" id="{4D338FB9-29C9-8034-961A-4B84A1467221}"/>
            </a:ext>
          </a:extLst>
        </xdr:cNvPr>
        <xdr:cNvSpPr/>
      </xdr:nvSpPr>
      <xdr:spPr>
        <a:xfrm>
          <a:off x="10585450" y="1416050"/>
          <a:ext cx="1244600" cy="361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B32DE27B-CE93-429D-B737-B552D2CD012C}" type="TxLink">
            <a:rPr lang="en-US" sz="1600" b="1" i="0" u="none" strike="noStrike" kern="1200">
              <a:solidFill>
                <a:srgbClr val="000000"/>
              </a:solidFill>
              <a:latin typeface="Aptos Narrow"/>
            </a:rPr>
            <a:pPr algn="l"/>
            <a:t>₹ 29,84,097</a:t>
          </a:fld>
          <a:endParaRPr lang="en-IN" sz="105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546100</xdr:colOff>
      <xdr:row>6</xdr:row>
      <xdr:rowOff>6350</xdr:rowOff>
    </xdr:from>
    <xdr:to>
      <xdr:col>7</xdr:col>
      <xdr:colOff>1663700</xdr:colOff>
      <xdr:row>11</xdr:row>
      <xdr:rowOff>119350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F65C1AE4-29AB-4D0F-B5EC-B2EEC271BD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</xdr:col>
      <xdr:colOff>0</xdr:colOff>
      <xdr:row>6</xdr:row>
      <xdr:rowOff>0</xdr:rowOff>
    </xdr:from>
    <xdr:to>
      <xdr:col>5</xdr:col>
      <xdr:colOff>374650</xdr:colOff>
      <xdr:row>11</xdr:row>
      <xdr:rowOff>113000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8BC2DE0D-1C5E-4F06-9E03-122F76D5CD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</xdr:col>
      <xdr:colOff>0</xdr:colOff>
      <xdr:row>11</xdr:row>
      <xdr:rowOff>298450</xdr:rowOff>
    </xdr:from>
    <xdr:to>
      <xdr:col>7</xdr:col>
      <xdr:colOff>1663700</xdr:colOff>
      <xdr:row>19</xdr:row>
      <xdr:rowOff>6350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70128824-57FE-4E4D-B77B-EC25B15BB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1" name="Graphic 20" descr="Search Inventory with solid fill">
          <a:extLst>
            <a:ext uri="{FF2B5EF4-FFF2-40B4-BE49-F238E27FC236}">
              <a16:creationId xmlns:a16="http://schemas.microsoft.com/office/drawing/2014/main" id="{6BD2ED71-856D-4B66-9B47-67015967B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ADB8F6A-706A-4C45-87B0-27557FC9642D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23" name="Rectangle 2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93C36AB-5181-4417-BEB2-D7F3436E97C5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24" name="Graphic 23" descr="Presentation with bar chart with solid fill">
          <a:extLst>
            <a:ext uri="{FF2B5EF4-FFF2-40B4-BE49-F238E27FC236}">
              <a16:creationId xmlns:a16="http://schemas.microsoft.com/office/drawing/2014/main" id="{E0F6003F-867B-43C5-9C54-B1AA7B168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25" name="Rectangle 2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BB165E5-D505-4EF9-B43C-B8EE9AB0077E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26" name="Rectangle 2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169E6C4-C221-404F-99C6-F9349D07E9CD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27" name="Rectangle 2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DF75F21-10DC-4A4B-AA64-B0A1F523B0DA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28" name="Rectangle 2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3F92A3C-82BF-4DF2-99DE-7FC5E361899C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29" name="Rectangle 2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6EF87E7-08CB-43DF-9EA1-CEF9CBA236EA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30" name="Rectangle 29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22964F7-915D-4519-9D52-188BBA361D29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31" name="Rectangle 3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D382AB9-C0B5-4D02-83A1-01205326509D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32" name="Graphic 31" descr="Clipboard Partially Checked with solid fill">
          <a:extLst>
            <a:ext uri="{FF2B5EF4-FFF2-40B4-BE49-F238E27FC236}">
              <a16:creationId xmlns:a16="http://schemas.microsoft.com/office/drawing/2014/main" id="{2925F113-5DC5-485E-B6F2-0713118D8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33" name="Graphic 32" descr="Receipt with solid fill">
          <a:extLst>
            <a:ext uri="{FF2B5EF4-FFF2-40B4-BE49-F238E27FC236}">
              <a16:creationId xmlns:a16="http://schemas.microsoft.com/office/drawing/2014/main" id="{D8953888-9D12-4581-B01A-41B285569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34" name="Graphic 33" descr="Register with solid fill">
          <a:extLst>
            <a:ext uri="{FF2B5EF4-FFF2-40B4-BE49-F238E27FC236}">
              <a16:creationId xmlns:a16="http://schemas.microsoft.com/office/drawing/2014/main" id="{40B13E4F-91F2-483C-B718-8A8F33540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35" name="Graphic 34" descr="Full Brick Wall with solid fill">
          <a:extLst>
            <a:ext uri="{FF2B5EF4-FFF2-40B4-BE49-F238E27FC236}">
              <a16:creationId xmlns:a16="http://schemas.microsoft.com/office/drawing/2014/main" id="{D3DF21A6-6F6B-45E1-B763-2D1CCA81F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36" name="Graphic 35" descr="User with solid fill">
          <a:extLst>
            <a:ext uri="{FF2B5EF4-FFF2-40B4-BE49-F238E27FC236}">
              <a16:creationId xmlns:a16="http://schemas.microsoft.com/office/drawing/2014/main" id="{A3377EAC-9702-44DB-88DC-13DC8DE48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37" name="Graphic 36" descr="User outline">
          <a:extLst>
            <a:ext uri="{FF2B5EF4-FFF2-40B4-BE49-F238E27FC236}">
              <a16:creationId xmlns:a16="http://schemas.microsoft.com/office/drawing/2014/main" id="{EED500E9-3EF0-43C0-A5C0-851C1D43C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38" name="Graphic 37" descr="Inventory outline">
          <a:extLst>
            <a:ext uri="{FF2B5EF4-FFF2-40B4-BE49-F238E27FC236}">
              <a16:creationId xmlns:a16="http://schemas.microsoft.com/office/drawing/2014/main" id="{15142265-D0F4-4BEC-B97F-1478C379D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8</xdr:col>
      <xdr:colOff>501650</xdr:colOff>
      <xdr:row>3</xdr:row>
      <xdr:rowOff>19050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3E1C2122-24E9-4F72-8BF3-7819AB3BAF43}"/>
            </a:ext>
          </a:extLst>
        </xdr:cNvPr>
        <xdr:cNvSpPr/>
      </xdr:nvSpPr>
      <xdr:spPr>
        <a:xfrm>
          <a:off x="2273300" y="336550"/>
          <a:ext cx="95694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Customers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895CBCBA-A851-4700-87D5-6CD5D0EED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3D226CD-0371-4A60-B7AB-21E636DF6FAC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B2F519-81D5-415A-B639-A6ECB1C5DB5F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C8B78375-4A3D-4D05-8DE1-E81EDCC09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CDD7020-145E-497F-86B9-3986801DCD40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4B5760C-F5E4-4075-91AE-B7E13619BEFD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C5475B0-6D9B-4B91-8A1E-88A847E17616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4FC019A-87D6-433A-A71A-D10A0D5D6794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54441E9-FC87-466A-ADFB-431E4BC5600A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C24BA56-0973-4BDA-8DFF-2FFE94EC1C05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55BDD08-0B46-4AF3-886D-AD838776169E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110C5AA2-86DA-4C4D-AB4F-94D636018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E252D19F-F7E4-4B41-832D-F3FA00B18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A59B1BA8-7F3A-4B16-B2CC-F03BBC00F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C9307B21-C222-4D43-AA18-790DB6BB2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75543EB1-399D-4F1C-B8EE-0DE18B4AA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618FB53E-8711-45C4-B165-A3612E731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FB844971-091E-4FA6-8F3C-6D409DE88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9</xdr:col>
      <xdr:colOff>336550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1AC18F0-F496-4BF7-9F26-CE27627685D9}"/>
            </a:ext>
          </a:extLst>
        </xdr:cNvPr>
        <xdr:cNvSpPr/>
      </xdr:nvSpPr>
      <xdr:spPr>
        <a:xfrm>
          <a:off x="2273300" y="336550"/>
          <a:ext cx="95821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Vendors List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7D662F5E-69F0-428F-A4BB-0C48C5BFB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7B99340-0ECF-448D-80F0-F4EB607D78E9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0984B71-9E52-4A2E-A2CB-91B973F2CF3D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F1443E48-F324-4B81-A6C6-8FFE4FDC7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794ACAF-0781-4DFB-9DF4-17E74887F80F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5FB8831-873E-4A8E-A4CB-7D89241F8074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AAA35F9-7E47-4CB4-8351-5EEE17D272A8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8A580E9-B075-476A-A734-4828F028E720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3CD021E-AD20-4E56-8210-E2BFEA8AE62E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D4293CC-FAF4-452F-BF7E-FD9BEE7A88A3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FB7F7D2-700E-4B47-999C-AA9CDD380EC3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25CB2A7C-59FE-4380-B493-D61894E7D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E2BC32BC-7D8D-4D2D-9134-7D6A5E4BD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597B0265-4DB2-4FCE-938B-00DDABEDE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75913C6A-297C-4264-ACA3-C7B40AE50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4BA24CD0-EEB3-47BB-BDB8-B6E79ADFC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12FF34DA-DD23-43E1-91C0-D489A2520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B81C9F77-9868-4D26-9C29-0E6CCCC0F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10</xdr:col>
      <xdr:colOff>615950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C2A74B0-EB55-43D2-B864-0974392151BD}"/>
            </a:ext>
          </a:extLst>
        </xdr:cNvPr>
        <xdr:cNvSpPr/>
      </xdr:nvSpPr>
      <xdr:spPr>
        <a:xfrm>
          <a:off x="2273300" y="336550"/>
          <a:ext cx="95567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Products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1ED5B967-6778-41B4-AB76-1D36582B0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2D7D144-F1A0-4538-8214-402D69043008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D185E3B-A11B-4151-BFD4-2161C4338529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3CAC61A9-0076-4F3C-B16C-A54D3AF0E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D3F27EB-32F5-48FC-8770-EF89B1D4AACA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44FDCCC-EC4D-4A07-9DC0-C6D3DBE37395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B8C9B21-9836-426E-A897-0746EF905B50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43C3488-C5A0-4C5D-8F11-5EFB02509BDB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New</a:t>
          </a:r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 </a:t>
          </a:r>
          <a:r>
            <a:rPr lang="en-IN" sz="1400" b="1" kern="1200">
              <a:solidFill>
                <a:schemeClr val="tx1"/>
              </a:solidFill>
            </a:rPr>
            <a:t>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31ECFE5-F2F3-4096-B822-34080833FF4C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9A930C9-7B42-4DDB-890F-7F3FC5FE3B21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B313526-C2B5-428D-8874-79719DDC2D07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C1A8CB12-EA96-4407-86A2-8F8E6CCC6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DD3E9968-935C-4C26-A248-22809F3EA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83CDD038-C05E-4B76-9C6F-2525F41FE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CC088779-C093-4FBD-8B73-0C2D91D83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8527CD37-DD07-487C-B2A8-21855426B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5B89B773-5717-4403-BE7E-47995FE8F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41B6DFA3-4EDD-401E-85AC-92DEE8267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10</xdr:col>
      <xdr:colOff>647700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2F54B90-5CA9-464E-A82C-5EF7B6EA51E4}"/>
            </a:ext>
          </a:extLst>
        </xdr:cNvPr>
        <xdr:cNvSpPr/>
      </xdr:nvSpPr>
      <xdr:spPr>
        <a:xfrm>
          <a:off x="2273300" y="336550"/>
          <a:ext cx="95440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New Entry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F1221A6A-8B34-4E74-9450-D9248EFA4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0D8C399-FA05-42EC-9AC0-FCE9530FAA4B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AE4A611-D492-4C37-81AE-3172FCD3980E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1905E049-BCBC-47A2-A3C5-6BC7E7D40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C8F4E7D-7F79-4C3C-92CD-CA4C30213898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14B31E6-29ED-4A85-AD42-FE7AF593BE21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65A8806-716E-44CF-867E-5C7595FBBC77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24ACED0-4950-46FB-9304-CCA08BF62987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C0D2A78-2FCE-4033-8B65-070FA3794935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284FA09-B98A-43ED-992C-259E59AC72BD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760C74E-7CBA-4279-8473-06E51D42309F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C2B47126-594C-46D3-8118-E9733FFC5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0FE54BA0-CC9D-4EBB-8532-580C4271F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EF0F6F69-73F8-4F3C-A682-C8466AB18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84C552CC-4835-4A91-9071-422B48020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0033288B-BDD1-4178-AD11-A6551C9D1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720543F0-906B-4CDA-A960-A7867B73A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CDC3ED4A-C3B9-4DD3-8341-A671F164B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10</xdr:col>
      <xdr:colOff>762000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F42D02A-7621-47D3-9B27-214CB8DBD3DC}"/>
            </a:ext>
          </a:extLst>
        </xdr:cNvPr>
        <xdr:cNvSpPr/>
      </xdr:nvSpPr>
      <xdr:spPr>
        <a:xfrm>
          <a:off x="2273300" y="336550"/>
          <a:ext cx="956310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Purchase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1A89969D-63D1-41E6-B360-B85F2DC40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3593543-6226-4C56-BD8B-AB990D4F6E98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AE1C46F-BA9E-4726-8096-DC3BE49501BB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1D115934-CBCB-4FCD-BBAA-1351A9BC4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E8B9D2F-A604-4365-AAC9-17E60B09BFBE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9DDC1EA-3ED7-4907-90FC-3AB2C416469C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38B5768-9376-4CBC-8039-F7DE878FA4E3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97D72B7-CAB0-451A-9618-E7719D5F2026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1CA0687-9614-4D89-9F77-9A2C8018EBEE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5DA887E-91DC-4F69-A0E1-2A657F7CD77A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B4581DA-E424-4865-9F6F-037063DC2C0D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592CBE5C-935E-4125-8589-E2C8A7B9B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49FBFA4F-84D5-44A3-A86E-89894E538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16666631-CE93-4086-8289-8B90A32B0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94D74236-B43C-4269-A991-21D1A185B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0B9C1822-CD81-42E3-82D7-472B2613C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EB3C67A4-BD12-408A-B5C2-CED0475DC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5920513F-38C1-4539-99C3-AB390AE5F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12</xdr:col>
      <xdr:colOff>622300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A96D0EC-4BD7-4693-A554-ACB266ACDB9D}"/>
            </a:ext>
          </a:extLst>
        </xdr:cNvPr>
        <xdr:cNvSpPr/>
      </xdr:nvSpPr>
      <xdr:spPr>
        <a:xfrm>
          <a:off x="2273300" y="336550"/>
          <a:ext cx="958850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Sales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552450</xdr:colOff>
      <xdr:row>1</xdr:row>
      <xdr:rowOff>101600</xdr:rowOff>
    </xdr:from>
    <xdr:to>
      <xdr:col>1</xdr:col>
      <xdr:colOff>1104900</xdr:colOff>
      <xdr:row>2</xdr:row>
      <xdr:rowOff>323850</xdr:rowOff>
    </xdr:to>
    <xdr:pic>
      <xdr:nvPicPr>
        <xdr:cNvPr id="2" name="Graphic 1" descr="Search Inventory with solid fill">
          <a:extLst>
            <a:ext uri="{FF2B5EF4-FFF2-40B4-BE49-F238E27FC236}">
              <a16:creationId xmlns:a16="http://schemas.microsoft.com/office/drawing/2014/main" id="{91BF80C6-9908-42D3-867A-E09023B77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0" y="431800"/>
          <a:ext cx="552450" cy="552450"/>
        </a:xfrm>
        <a:prstGeom prst="rect">
          <a:avLst/>
        </a:prstGeom>
      </xdr:spPr>
    </xdr:pic>
    <xdr:clientData/>
  </xdr:twoCellAnchor>
  <xdr:twoCellAnchor editAs="absolute">
    <xdr:from>
      <xdr:col>1</xdr:col>
      <xdr:colOff>38100</xdr:colOff>
      <xdr:row>2</xdr:row>
      <xdr:rowOff>273050</xdr:rowOff>
    </xdr:from>
    <xdr:to>
      <xdr:col>1</xdr:col>
      <xdr:colOff>1581150</xdr:colOff>
      <xdr:row>4</xdr:row>
      <xdr:rowOff>241300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06CFB95-8DAF-425B-B540-0A55F7A5B8AD}"/>
            </a:ext>
          </a:extLst>
        </xdr:cNvPr>
        <xdr:cNvSpPr/>
      </xdr:nvSpPr>
      <xdr:spPr>
        <a:xfrm>
          <a:off x="247650" y="933450"/>
          <a:ext cx="1543050" cy="6286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 b="1" kern="1200">
              <a:solidFill>
                <a:schemeClr val="tx1"/>
              </a:solidFill>
            </a:rPr>
            <a:t>Inventory Management System</a:t>
          </a:r>
        </a:p>
      </xdr:txBody>
    </xdr:sp>
    <xdr:clientData/>
  </xdr:twoCellAnchor>
  <xdr:twoCellAnchor editAs="absolute">
    <xdr:from>
      <xdr:col>1</xdr:col>
      <xdr:colOff>349250</xdr:colOff>
      <xdr:row>5</xdr:row>
      <xdr:rowOff>31750</xdr:rowOff>
    </xdr:from>
    <xdr:to>
      <xdr:col>1</xdr:col>
      <xdr:colOff>1524000</xdr:colOff>
      <xdr:row>6</xdr:row>
      <xdr:rowOff>44450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1F593ED-5053-45E1-92A9-F6CE3373E038}"/>
            </a:ext>
          </a:extLst>
        </xdr:cNvPr>
        <xdr:cNvSpPr/>
      </xdr:nvSpPr>
      <xdr:spPr>
        <a:xfrm>
          <a:off x="558800" y="168275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Dashboard</a:t>
          </a:r>
        </a:p>
      </xdr:txBody>
    </xdr:sp>
    <xdr:clientData/>
  </xdr:twoCellAnchor>
  <xdr:twoCellAnchor editAs="absolute">
    <xdr:from>
      <xdr:col>1</xdr:col>
      <xdr:colOff>82550</xdr:colOff>
      <xdr:row>5</xdr:row>
      <xdr:rowOff>19050</xdr:rowOff>
    </xdr:from>
    <xdr:to>
      <xdr:col>1</xdr:col>
      <xdr:colOff>412750</xdr:colOff>
      <xdr:row>6</xdr:row>
      <xdr:rowOff>19050</xdr:rowOff>
    </xdr:to>
    <xdr:pic>
      <xdr:nvPicPr>
        <xdr:cNvPr id="5" name="Graphic 4" descr="Presentation with bar chart with solid fill">
          <a:extLst>
            <a:ext uri="{FF2B5EF4-FFF2-40B4-BE49-F238E27FC236}">
              <a16:creationId xmlns:a16="http://schemas.microsoft.com/office/drawing/2014/main" id="{2A19CA5C-54AD-4433-9C1B-271FD5C0E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92100" y="1670050"/>
          <a:ext cx="330200" cy="330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349250</xdr:colOff>
      <xdr:row>6</xdr:row>
      <xdr:rowOff>39914</xdr:rowOff>
    </xdr:from>
    <xdr:to>
      <xdr:col>1</xdr:col>
      <xdr:colOff>1524000</xdr:colOff>
      <xdr:row>7</xdr:row>
      <xdr:rowOff>52614</xdr:rowOff>
    </xdr:to>
    <xdr:sp macro="" textlink="">
      <xdr:nvSpPr>
        <xdr:cNvPr id="6" name="Rectangl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51D0C06-1155-49A3-8691-6B2230A6D82B}"/>
            </a:ext>
          </a:extLst>
        </xdr:cNvPr>
        <xdr:cNvSpPr/>
      </xdr:nvSpPr>
      <xdr:spPr>
        <a:xfrm>
          <a:off x="558800" y="202111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Customers</a:t>
          </a:r>
        </a:p>
      </xdr:txBody>
    </xdr:sp>
    <xdr:clientData/>
  </xdr:twoCellAnchor>
  <xdr:twoCellAnchor editAs="absolute">
    <xdr:from>
      <xdr:col>1</xdr:col>
      <xdr:colOff>349250</xdr:colOff>
      <xdr:row>7</xdr:row>
      <xdr:rowOff>48078</xdr:rowOff>
    </xdr:from>
    <xdr:to>
      <xdr:col>1</xdr:col>
      <xdr:colOff>1524000</xdr:colOff>
      <xdr:row>8</xdr:row>
      <xdr:rowOff>60778</xdr:rowOff>
    </xdr:to>
    <xdr:sp macro="" textlink="">
      <xdr:nvSpPr>
        <xdr:cNvPr id="7" name="Rectangl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E33F8FB-3DE3-4465-BDB5-AC83908CC88B}"/>
            </a:ext>
          </a:extLst>
        </xdr:cNvPr>
        <xdr:cNvSpPr/>
      </xdr:nvSpPr>
      <xdr:spPr>
        <a:xfrm>
          <a:off x="558800" y="2359478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Vendors</a:t>
          </a:r>
        </a:p>
      </xdr:txBody>
    </xdr:sp>
    <xdr:clientData/>
  </xdr:twoCellAnchor>
  <xdr:twoCellAnchor editAs="absolute">
    <xdr:from>
      <xdr:col>1</xdr:col>
      <xdr:colOff>349250</xdr:colOff>
      <xdr:row>8</xdr:row>
      <xdr:rowOff>56242</xdr:rowOff>
    </xdr:from>
    <xdr:to>
      <xdr:col>1</xdr:col>
      <xdr:colOff>1524000</xdr:colOff>
      <xdr:row>9</xdr:row>
      <xdr:rowOff>68942</xdr:rowOff>
    </xdr:to>
    <xdr:sp macro="" textlink="">
      <xdr:nvSpPr>
        <xdr:cNvPr id="8" name="Rectangl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5D40403-711A-481C-9210-9E3E61FFF5CB}"/>
            </a:ext>
          </a:extLst>
        </xdr:cNvPr>
        <xdr:cNvSpPr/>
      </xdr:nvSpPr>
      <xdr:spPr>
        <a:xfrm>
          <a:off x="558800" y="2697842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Products</a:t>
          </a:r>
        </a:p>
      </xdr:txBody>
    </xdr:sp>
    <xdr:clientData/>
  </xdr:twoCellAnchor>
  <xdr:twoCellAnchor editAs="absolute">
    <xdr:from>
      <xdr:col>1</xdr:col>
      <xdr:colOff>349250</xdr:colOff>
      <xdr:row>9</xdr:row>
      <xdr:rowOff>64406</xdr:rowOff>
    </xdr:from>
    <xdr:to>
      <xdr:col>1</xdr:col>
      <xdr:colOff>1524000</xdr:colOff>
      <xdr:row>10</xdr:row>
      <xdr:rowOff>77106</xdr:rowOff>
    </xdr:to>
    <xdr:sp macro="" textlink="">
      <xdr:nvSpPr>
        <xdr:cNvPr id="9" name="Rectangl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DB2AB66-E098-4C3B-BAA1-5C63BA49A16D}"/>
            </a:ext>
          </a:extLst>
        </xdr:cNvPr>
        <xdr:cNvSpPr/>
      </xdr:nvSpPr>
      <xdr:spPr>
        <a:xfrm>
          <a:off x="558800" y="3036206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New Entry</a:t>
          </a:r>
        </a:p>
      </xdr:txBody>
    </xdr:sp>
    <xdr:clientData/>
  </xdr:twoCellAnchor>
  <xdr:twoCellAnchor editAs="absolute">
    <xdr:from>
      <xdr:col>1</xdr:col>
      <xdr:colOff>349250</xdr:colOff>
      <xdr:row>10</xdr:row>
      <xdr:rowOff>72570</xdr:rowOff>
    </xdr:from>
    <xdr:to>
      <xdr:col>1</xdr:col>
      <xdr:colOff>1524000</xdr:colOff>
      <xdr:row>11</xdr:row>
      <xdr:rowOff>85270</xdr:rowOff>
    </xdr:to>
    <xdr:sp macro="" textlink="">
      <xdr:nvSpPr>
        <xdr:cNvPr id="10" name="Rectangl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9BF4B8E-F995-4DF9-92E4-FD420B98F3A1}"/>
            </a:ext>
          </a:extLst>
        </xdr:cNvPr>
        <xdr:cNvSpPr/>
      </xdr:nvSpPr>
      <xdr:spPr>
        <a:xfrm>
          <a:off x="558800" y="337457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Purchase</a:t>
          </a:r>
        </a:p>
      </xdr:txBody>
    </xdr:sp>
    <xdr:clientData/>
  </xdr:twoCellAnchor>
  <xdr:twoCellAnchor editAs="absolute">
    <xdr:from>
      <xdr:col>1</xdr:col>
      <xdr:colOff>349250</xdr:colOff>
      <xdr:row>11</xdr:row>
      <xdr:rowOff>80734</xdr:rowOff>
    </xdr:from>
    <xdr:to>
      <xdr:col>1</xdr:col>
      <xdr:colOff>1524000</xdr:colOff>
      <xdr:row>12</xdr:row>
      <xdr:rowOff>93434</xdr:rowOff>
    </xdr:to>
    <xdr:sp macro="" textlink="">
      <xdr:nvSpPr>
        <xdr:cNvPr id="11" name="Rectangl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819BEDF-0EE3-4615-9DEF-C95A0628E1C2}"/>
            </a:ext>
          </a:extLst>
        </xdr:cNvPr>
        <xdr:cNvSpPr/>
      </xdr:nvSpPr>
      <xdr:spPr>
        <a:xfrm>
          <a:off x="558800" y="3712934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>
                  <a:lumMod val="50000"/>
                  <a:lumOff val="50000"/>
                </a:schemeClr>
              </a:solidFill>
            </a:rPr>
            <a:t>Sales</a:t>
          </a:r>
        </a:p>
      </xdr:txBody>
    </xdr:sp>
    <xdr:clientData/>
  </xdr:twoCellAnchor>
  <xdr:twoCellAnchor editAs="absolute">
    <xdr:from>
      <xdr:col>1</xdr:col>
      <xdr:colOff>349250</xdr:colOff>
      <xdr:row>12</xdr:row>
      <xdr:rowOff>88900</xdr:rowOff>
    </xdr:from>
    <xdr:to>
      <xdr:col>1</xdr:col>
      <xdr:colOff>1524000</xdr:colOff>
      <xdr:row>13</xdr:row>
      <xdr:rowOff>101600</xdr:rowOff>
    </xdr:to>
    <xdr:sp macro="" textlink="">
      <xdr:nvSpPr>
        <xdr:cNvPr id="12" name="Rectangl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BFD10E6-8D08-422E-A565-8D55D6809BAF}"/>
            </a:ext>
          </a:extLst>
        </xdr:cNvPr>
        <xdr:cNvSpPr/>
      </xdr:nvSpPr>
      <xdr:spPr>
        <a:xfrm>
          <a:off x="558800" y="4051300"/>
          <a:ext cx="117475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 kern="1200">
              <a:solidFill>
                <a:schemeClr val="tx1"/>
              </a:solidFill>
            </a:rPr>
            <a:t>Inventory</a:t>
          </a:r>
        </a:p>
      </xdr:txBody>
    </xdr:sp>
    <xdr:clientData/>
  </xdr:twoCellAnchor>
  <xdr:twoCellAnchor editAs="absolute">
    <xdr:from>
      <xdr:col>1</xdr:col>
      <xdr:colOff>82550</xdr:colOff>
      <xdr:row>12</xdr:row>
      <xdr:rowOff>82550</xdr:rowOff>
    </xdr:from>
    <xdr:to>
      <xdr:col>1</xdr:col>
      <xdr:colOff>334550</xdr:colOff>
      <xdr:row>13</xdr:row>
      <xdr:rowOff>4350</xdr:rowOff>
    </xdr:to>
    <xdr:pic>
      <xdr:nvPicPr>
        <xdr:cNvPr id="13" name="Graphic 12" descr="Clipboard Partially Checked with solid fill">
          <a:extLst>
            <a:ext uri="{FF2B5EF4-FFF2-40B4-BE49-F238E27FC236}">
              <a16:creationId xmlns:a16="http://schemas.microsoft.com/office/drawing/2014/main" id="{62B14616-6CC2-4D2A-AA17-555F9EFF2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92100" y="40449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10</xdr:row>
      <xdr:rowOff>111900</xdr:rowOff>
    </xdr:from>
    <xdr:to>
      <xdr:col>1</xdr:col>
      <xdr:colOff>334550</xdr:colOff>
      <xdr:row>11</xdr:row>
      <xdr:rowOff>33700</xdr:rowOff>
    </xdr:to>
    <xdr:pic>
      <xdr:nvPicPr>
        <xdr:cNvPr id="14" name="Graphic 13" descr="Receipt with solid fill">
          <a:extLst>
            <a:ext uri="{FF2B5EF4-FFF2-40B4-BE49-F238E27FC236}">
              <a16:creationId xmlns:a16="http://schemas.microsoft.com/office/drawing/2014/main" id="{9E70EAB9-4217-4AAA-B565-F7E6CAB86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292100" y="34139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11</xdr:row>
      <xdr:rowOff>96800</xdr:rowOff>
    </xdr:from>
    <xdr:to>
      <xdr:col>1</xdr:col>
      <xdr:colOff>334550</xdr:colOff>
      <xdr:row>12</xdr:row>
      <xdr:rowOff>18600</xdr:rowOff>
    </xdr:to>
    <xdr:pic>
      <xdr:nvPicPr>
        <xdr:cNvPr id="15" name="Graphic 14" descr="Register with solid fill">
          <a:extLst>
            <a:ext uri="{FF2B5EF4-FFF2-40B4-BE49-F238E27FC236}">
              <a16:creationId xmlns:a16="http://schemas.microsoft.com/office/drawing/2014/main" id="{D71CFC21-5439-4E69-8281-EAE6C1C20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292100" y="37290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9</xdr:row>
      <xdr:rowOff>56300</xdr:rowOff>
    </xdr:from>
    <xdr:to>
      <xdr:col>1</xdr:col>
      <xdr:colOff>334550</xdr:colOff>
      <xdr:row>9</xdr:row>
      <xdr:rowOff>308300</xdr:rowOff>
    </xdr:to>
    <xdr:pic>
      <xdr:nvPicPr>
        <xdr:cNvPr id="16" name="Graphic 15" descr="Full Brick Wall with solid fill">
          <a:extLst>
            <a:ext uri="{FF2B5EF4-FFF2-40B4-BE49-F238E27FC236}">
              <a16:creationId xmlns:a16="http://schemas.microsoft.com/office/drawing/2014/main" id="{B7B43551-73CE-4D86-B8A4-E87E395AE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292100" y="30281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6</xdr:row>
      <xdr:rowOff>41200</xdr:rowOff>
    </xdr:from>
    <xdr:to>
      <xdr:col>1</xdr:col>
      <xdr:colOff>334550</xdr:colOff>
      <xdr:row>6</xdr:row>
      <xdr:rowOff>293200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5DCA7695-0153-4B49-A6FB-A5C634CA1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292100" y="202240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7</xdr:row>
      <xdr:rowOff>7050</xdr:rowOff>
    </xdr:from>
    <xdr:to>
      <xdr:col>1</xdr:col>
      <xdr:colOff>334550</xdr:colOff>
      <xdr:row>7</xdr:row>
      <xdr:rowOff>259050</xdr:rowOff>
    </xdr:to>
    <xdr:pic>
      <xdr:nvPicPr>
        <xdr:cNvPr id="18" name="Graphic 17" descr="User outline">
          <a:extLst>
            <a:ext uri="{FF2B5EF4-FFF2-40B4-BE49-F238E27FC236}">
              <a16:creationId xmlns:a16="http://schemas.microsoft.com/office/drawing/2014/main" id="{57CE1B90-0A98-4FC2-A4C8-A63A3B804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292100" y="23184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1</xdr:col>
      <xdr:colOff>82550</xdr:colOff>
      <xdr:row>8</xdr:row>
      <xdr:rowOff>31750</xdr:rowOff>
    </xdr:from>
    <xdr:to>
      <xdr:col>1</xdr:col>
      <xdr:colOff>334550</xdr:colOff>
      <xdr:row>8</xdr:row>
      <xdr:rowOff>283750</xdr:rowOff>
    </xdr:to>
    <xdr:pic>
      <xdr:nvPicPr>
        <xdr:cNvPr id="19" name="Graphic 18" descr="Inventory outline">
          <a:extLst>
            <a:ext uri="{FF2B5EF4-FFF2-40B4-BE49-F238E27FC236}">
              <a16:creationId xmlns:a16="http://schemas.microsoft.com/office/drawing/2014/main" id="{BFD17D1E-3EDB-46AF-B069-44A569C40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292100" y="2673350"/>
          <a:ext cx="252000" cy="25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</xdr:row>
      <xdr:rowOff>6350</xdr:rowOff>
    </xdr:from>
    <xdr:to>
      <xdr:col>12</xdr:col>
      <xdr:colOff>654050</xdr:colOff>
      <xdr:row>3</xdr:row>
      <xdr:rowOff>19050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88B40623-EAA9-4C50-8952-54A86BC7C765}"/>
            </a:ext>
          </a:extLst>
        </xdr:cNvPr>
        <xdr:cNvSpPr/>
      </xdr:nvSpPr>
      <xdr:spPr>
        <a:xfrm>
          <a:off x="2273300" y="336550"/>
          <a:ext cx="9569450" cy="673100"/>
        </a:xfrm>
        <a:prstGeom prst="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IN" sz="2800" b="1" kern="1200">
              <a:solidFill>
                <a:schemeClr val="tx1"/>
              </a:solidFill>
            </a:rPr>
            <a:t>  Inventory &amp; Stock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321983</xdr:colOff>
      <xdr:row>0</xdr:row>
      <xdr:rowOff>228601</xdr:rowOff>
    </xdr:from>
    <xdr:to>
      <xdr:col>10</xdr:col>
      <xdr:colOff>410883</xdr:colOff>
      <xdr:row>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97190C-B73A-98D9-40E0-98186F3F5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537882</xdr:colOff>
      <xdr:row>10</xdr:row>
      <xdr:rowOff>215153</xdr:rowOff>
    </xdr:from>
    <xdr:to>
      <xdr:col>10</xdr:col>
      <xdr:colOff>627529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F22855-D377-CB3A-A0C3-8F6CDFE2A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1606177</xdr:colOff>
      <xdr:row>22</xdr:row>
      <xdr:rowOff>164354</xdr:rowOff>
    </xdr:from>
    <xdr:to>
      <xdr:col>4</xdr:col>
      <xdr:colOff>261471</xdr:colOff>
      <xdr:row>30</xdr:row>
      <xdr:rowOff>277907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DF2D8D-B6FB-5B76-30D1-AB52D7F53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0439813" createdVersion="8" refreshedVersion="8" minRefreshableVersion="3" recordCount="13" xr:uid="{36934813-7A35-4093-B385-26048FB281A5}">
  <cacheSource type="worksheet">
    <worksheetSource name="Table7[[HSN Code]:[Stock Amt.]]"/>
  </cacheSource>
  <cacheFields count="7">
    <cacheField name="HSN Code" numFmtId="0">
      <sharedItems/>
    </cacheField>
    <cacheField name="Product Name" numFmtId="0">
      <sharedItems/>
    </cacheField>
    <cacheField name="Cost" numFmtId="0">
      <sharedItems containsMixedTypes="1" containsNumber="1" containsInteger="1" minValue="200" maxValue="52000"/>
    </cacheField>
    <cacheField name="P Units" numFmtId="0">
      <sharedItems containsSemiMixedTypes="0" containsString="0" containsNumber="1" containsInteger="1" minValue="0" maxValue="100"/>
    </cacheField>
    <cacheField name="S Units" numFmtId="0">
      <sharedItems containsSemiMixedTypes="0" containsString="0" containsNumber="1" containsInteger="1" minValue="0" maxValue="65"/>
    </cacheField>
    <cacheField name="Stock" numFmtId="0">
      <sharedItems containsSemiMixedTypes="0" containsString="0" containsNumber="1" containsInteger="1" minValue="0" maxValue="36"/>
    </cacheField>
    <cacheField name="Stock Amt." numFmtId="164">
      <sharedItems containsMixedTypes="1" containsNumber="1" containsInteger="1" minValue="2010" maxValue="75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0671297" createdVersion="8" refreshedVersion="8" minRefreshableVersion="3" recordCount="16" xr:uid="{BD969CCC-5601-437B-9FAA-F3CEFBDEA6DA}">
  <cacheSource type="worksheet">
    <worksheetSource name="sales"/>
  </cacheSource>
  <cacheFields count="9">
    <cacheField name="Cust_ID" numFmtId="0">
      <sharedItems containsString="0" containsBlank="1" containsNumber="1" containsInteger="1" minValue="100" maxValue="106"/>
    </cacheField>
    <cacheField name="Cust_Name" numFmtId="0">
      <sharedItems count="8">
        <s v="99store"/>
        <s v="Rajesh Kumar"/>
        <s v="Atul Ltd."/>
        <s v="Ram sales"/>
        <s v="MK Tech."/>
        <s v="Amit "/>
        <s v="Jain Tel."/>
        <s v=""/>
      </sharedItems>
    </cacheField>
    <cacheField name="HSN Code" numFmtId="0">
      <sharedItems containsBlank="1"/>
    </cacheField>
    <cacheField name="Product Name" numFmtId="0">
      <sharedItems count="10">
        <s v="Headphones"/>
        <s v="Rgb Keyboard"/>
        <s v="Desktop"/>
        <s v="Laptop HP xyz i5"/>
        <s v="Tablets"/>
        <s v="Speakers"/>
        <s v="Smart Watch"/>
        <s v="Camera"/>
        <s v="Wireless Printer"/>
        <s v=""/>
      </sharedItems>
    </cacheField>
    <cacheField name="Date" numFmtId="0">
      <sharedItems containsNonDate="0" containsDate="1" containsString="0" containsBlank="1" minDate="2024-01-01T00:00:00" maxDate="2024-01-09T00:00:00"/>
    </cacheField>
    <cacheField name="Stock(Units)" numFmtId="0">
      <sharedItems containsMixedTypes="1" containsNumber="1" containsInteger="1" minValue="3" maxValue="36"/>
    </cacheField>
    <cacheField name="Units" numFmtId="0">
      <sharedItems containsString="0" containsBlank="1" containsNumber="1" containsInteger="1" minValue="4" maxValue="55"/>
    </cacheField>
    <cacheField name="Price" numFmtId="42">
      <sharedItems containsMixedTypes="1" containsNumber="1" minValue="408" maxValue="62400"/>
    </cacheField>
    <cacheField name="Amount" numFmtId="42">
      <sharedItems containsMixedTypes="1" containsNumber="1" minValue="4704" maxValue="138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018521" createdVersion="8" refreshedVersion="8" minRefreshableVersion="3" recordCount="17" xr:uid="{8856BFE3-4E2E-48FE-88A4-DC6774F55FFF}">
  <cacheSource type="worksheet">
    <worksheetSource name="purchase"/>
  </cacheSource>
  <cacheFields count="7">
    <cacheField name="HSN Code" numFmtId="0">
      <sharedItems containsBlank="1"/>
    </cacheField>
    <cacheField name="Product Name" numFmtId="0">
      <sharedItems/>
    </cacheField>
    <cacheField name="Vendor" numFmtId="0">
      <sharedItems/>
    </cacheField>
    <cacheField name="Date" numFmtId="0">
      <sharedItems containsNonDate="0" containsDate="1" containsString="0" containsBlank="1" minDate="2024-01-01T00:00:00" maxDate="2024-01-11T00:00:00"/>
    </cacheField>
    <cacheField name="Units" numFmtId="0">
      <sharedItems containsString="0" containsBlank="1" containsNumber="1" containsInteger="1" minValue="2" maxValue="100"/>
    </cacheField>
    <cacheField name="Cost" numFmtId="42">
      <sharedItems containsMixedTypes="1" containsNumber="1" containsInteger="1" minValue="200" maxValue="52000"/>
    </cacheField>
    <cacheField name="Amount" numFmtId="42">
      <sharedItems containsMixedTypes="1" containsNumber="1" containsInteger="1" minValue="4000" maxValue="21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249998" createdVersion="8" refreshedVersion="8" minRefreshableVersion="3" recordCount="10" xr:uid="{46C68DA8-791C-4DC6-B31E-EFB611E14972}">
  <cacheSource type="worksheet">
    <worksheetSource name="Table4"/>
  </cacheSource>
  <cacheFields count="4">
    <cacheField name="HSN Code" numFmtId="0">
      <sharedItems/>
    </cacheField>
    <cacheField name="Product Name" numFmtId="0">
      <sharedItems/>
    </cacheField>
    <cacheField name="Cost" numFmtId="42">
      <sharedItems containsSemiMixedTypes="0" containsString="0" containsNumber="1" containsInteger="1" minValue="200" maxValue="52000"/>
    </cacheField>
    <cacheField name="Selling Price" numFmtId="42">
      <sharedItems containsSemiMixedTypes="0" containsString="0" containsNumber="1" minValue="240" maxValue="6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481482" createdVersion="8" refreshedVersion="8" minRefreshableVersion="3" recordCount="7" xr:uid="{021DD6FF-A0B7-42F2-B26A-302441D9AD64}">
  <cacheSource type="worksheet">
    <worksheetSource name="customersdata"/>
  </cacheSource>
  <cacheFields count="4">
    <cacheField name="Cust_ID" numFmtId="0">
      <sharedItems containsSemiMixedTypes="0" containsString="0" containsNumber="1" containsInteger="1" minValue="100" maxValue="106"/>
    </cacheField>
    <cacheField name="Name" numFmtId="0">
      <sharedItems/>
    </cacheField>
    <cacheField name="E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" refreshedDate="45644.504781597221" createdVersion="8" refreshedVersion="8" minRefreshableVersion="3" recordCount="13" xr:uid="{F3907C08-C420-4812-A5AB-11EEF3607E42}">
  <cacheSource type="worksheet">
    <worksheetSource name="Table7"/>
  </cacheSource>
  <cacheFields count="8">
    <cacheField name="HSN Code" numFmtId="0">
      <sharedItems/>
    </cacheField>
    <cacheField name="Product Name" numFmtId="0">
      <sharedItems count="11">
        <s v="Smart Watch"/>
        <s v="Laptop HP xyz i5"/>
        <s v="Wireless Printer"/>
        <s v="Desktop"/>
        <s v="Mouse"/>
        <s v="Rgb Keyboard"/>
        <s v="Camera"/>
        <s v="Headphones"/>
        <s v="Speakers"/>
        <s v="Tablets"/>
        <s v=""/>
      </sharedItems>
    </cacheField>
    <cacheField name="Cost" numFmtId="0">
      <sharedItems containsMixedTypes="1" containsNumber="1" containsInteger="1" minValue="200" maxValue="52000"/>
    </cacheField>
    <cacheField name="P Units" numFmtId="0">
      <sharedItems containsSemiMixedTypes="0" containsString="0" containsNumber="1" containsInteger="1" minValue="0" maxValue="100"/>
    </cacheField>
    <cacheField name="S Units" numFmtId="0">
      <sharedItems containsSemiMixedTypes="0" containsString="0" containsNumber="1" containsInteger="1" minValue="0" maxValue="65"/>
    </cacheField>
    <cacheField name="Stock" numFmtId="0">
      <sharedItems containsSemiMixedTypes="0" containsString="0" containsNumber="1" containsInteger="1" minValue="0" maxValue="36"/>
    </cacheField>
    <cacheField name="Stock Amt." numFmtId="164">
      <sharedItems containsMixedTypes="1" containsNumber="1" containsInteger="1" minValue="2010" maxValue="752000"/>
    </cacheField>
    <cacheField name="notificat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N1001"/>
    <s v="Smart Watch"/>
    <n v="980"/>
    <n v="40"/>
    <n v="4"/>
    <n v="36"/>
    <n v="35280"/>
  </r>
  <r>
    <s v="N1002"/>
    <s v="Laptop HP xyz i5"/>
    <n v="34500"/>
    <n v="30"/>
    <n v="14"/>
    <n v="16"/>
    <n v="552000"/>
  </r>
  <r>
    <s v="N1003"/>
    <s v="Wireless Printer"/>
    <n v="4600"/>
    <n v="40"/>
    <n v="5"/>
    <n v="35"/>
    <n v="161000"/>
  </r>
  <r>
    <s v="N1004"/>
    <s v="Desktop"/>
    <n v="21000"/>
    <n v="100"/>
    <n v="65"/>
    <n v="35"/>
    <n v="735000"/>
  </r>
  <r>
    <s v="N1005"/>
    <s v="Mouse"/>
    <n v="200"/>
    <n v="20"/>
    <n v="0"/>
    <n v="20"/>
    <n v="4000"/>
  </r>
  <r>
    <s v="N1006"/>
    <s v="Rgb Keyboard"/>
    <n v="340"/>
    <n v="50"/>
    <n v="37"/>
    <n v="13"/>
    <n v="4420"/>
  </r>
  <r>
    <s v="N1007"/>
    <s v="Camera"/>
    <n v="52000"/>
    <n v="22"/>
    <n v="8"/>
    <n v="14"/>
    <n v="728000"/>
  </r>
  <r>
    <s v="N1008"/>
    <s v="Headphones"/>
    <n v="799"/>
    <n v="55"/>
    <n v="42"/>
    <n v="13"/>
    <n v="10387"/>
  </r>
  <r>
    <s v="N1009"/>
    <s v="Speakers"/>
    <n v="670"/>
    <n v="55"/>
    <n v="52"/>
    <n v="3"/>
    <n v="2010"/>
  </r>
  <r>
    <s v="N1010"/>
    <s v="Tablets"/>
    <n v="23500"/>
    <n v="40"/>
    <n v="8"/>
    <n v="32"/>
    <n v="752000"/>
  </r>
  <r>
    <s v=""/>
    <s v=""/>
    <s v=""/>
    <n v="0"/>
    <n v="0"/>
    <n v="0"/>
    <s v=""/>
  </r>
  <r>
    <s v=""/>
    <s v=""/>
    <s v=""/>
    <n v="0"/>
    <n v="0"/>
    <n v="0"/>
    <s v=""/>
  </r>
  <r>
    <s v=""/>
    <s v=""/>
    <s v=""/>
    <n v="0"/>
    <n v="0"/>
    <n v="0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103"/>
    <x v="0"/>
    <s v="N1008"/>
    <x v="0"/>
    <d v="2024-01-01T00:00:00"/>
    <n v="13"/>
    <n v="10"/>
    <n v="958.8"/>
    <n v="9588"/>
  </r>
  <r>
    <n v="104"/>
    <x v="1"/>
    <s v="N1006"/>
    <x v="1"/>
    <d v="2024-01-02T00:00:00"/>
    <n v="13"/>
    <n v="37"/>
    <n v="408"/>
    <n v="15096"/>
  </r>
  <r>
    <n v="101"/>
    <x v="2"/>
    <s v="N1004"/>
    <x v="2"/>
    <d v="2024-01-03T00:00:00"/>
    <n v="35"/>
    <n v="10"/>
    <n v="25200"/>
    <n v="252000"/>
  </r>
  <r>
    <n v="100"/>
    <x v="3"/>
    <s v="N1008"/>
    <x v="0"/>
    <d v="2024-01-04T00:00:00"/>
    <n v="13"/>
    <n v="32"/>
    <n v="958.8"/>
    <n v="30681.599999999999"/>
  </r>
  <r>
    <n v="102"/>
    <x v="4"/>
    <s v="N1002"/>
    <x v="3"/>
    <d v="2024-01-05T00:00:00"/>
    <n v="16"/>
    <n v="14"/>
    <n v="41400"/>
    <n v="579600"/>
  </r>
  <r>
    <n v="103"/>
    <x v="0"/>
    <s v="N1004"/>
    <x v="2"/>
    <d v="2024-01-06T00:00:00"/>
    <n v="35"/>
    <n v="55"/>
    <n v="25200"/>
    <n v="1386000"/>
  </r>
  <r>
    <n v="105"/>
    <x v="5"/>
    <s v="N1010"/>
    <x v="4"/>
    <d v="2024-01-07T00:00:00"/>
    <n v="32"/>
    <n v="4"/>
    <n v="28200"/>
    <n v="112800"/>
  </r>
  <r>
    <n v="106"/>
    <x v="6"/>
    <s v="N1009"/>
    <x v="5"/>
    <d v="2024-01-08T00:00:00"/>
    <n v="3"/>
    <n v="52"/>
    <n v="804"/>
    <n v="41808"/>
  </r>
  <r>
    <n v="104"/>
    <x v="1"/>
    <s v="N1010"/>
    <x v="4"/>
    <d v="2024-01-08T00:00:00"/>
    <n v="32"/>
    <n v="4"/>
    <n v="28200"/>
    <n v="112800"/>
  </r>
  <r>
    <n v="103"/>
    <x v="0"/>
    <s v="N1001"/>
    <x v="6"/>
    <d v="2024-01-08T00:00:00"/>
    <n v="36"/>
    <n v="4"/>
    <n v="1176"/>
    <n v="4704"/>
  </r>
  <r>
    <n v="104"/>
    <x v="1"/>
    <s v="N1007"/>
    <x v="7"/>
    <d v="2024-01-08T00:00:00"/>
    <n v="14"/>
    <n v="4"/>
    <n v="62400"/>
    <n v="249600"/>
  </r>
  <r>
    <n v="105"/>
    <x v="5"/>
    <s v="N1007"/>
    <x v="7"/>
    <d v="2024-01-08T00:00:00"/>
    <n v="14"/>
    <n v="4"/>
    <n v="62400"/>
    <n v="249600"/>
  </r>
  <r>
    <n v="104"/>
    <x v="1"/>
    <s v="N1003"/>
    <x v="8"/>
    <d v="2024-01-08T00:00:00"/>
    <n v="35"/>
    <n v="5"/>
    <n v="5520"/>
    <n v="27600"/>
  </r>
  <r>
    <m/>
    <x v="7"/>
    <m/>
    <x v="9"/>
    <m/>
    <s v=""/>
    <m/>
    <s v=""/>
    <s v=""/>
  </r>
  <r>
    <m/>
    <x v="7"/>
    <m/>
    <x v="9"/>
    <m/>
    <s v=""/>
    <m/>
    <s v=""/>
    <s v=""/>
  </r>
  <r>
    <m/>
    <x v="7"/>
    <m/>
    <x v="9"/>
    <m/>
    <s v=""/>
    <m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N1005"/>
    <s v="Mouse"/>
    <s v="GG Traders"/>
    <d v="2024-01-01T00:00:00"/>
    <n v="20"/>
    <n v="200"/>
    <n v="4000"/>
  </r>
  <r>
    <s v="N1008"/>
    <s v="Headphones"/>
    <s v="Compac"/>
    <d v="2024-01-02T00:00:00"/>
    <n v="10"/>
    <n v="799"/>
    <n v="7990"/>
  </r>
  <r>
    <s v="N1006"/>
    <s v="Rgb Keyboard"/>
    <s v="GG Traders"/>
    <d v="2024-01-03T00:00:00"/>
    <n v="50"/>
    <n v="340"/>
    <n v="17000"/>
  </r>
  <r>
    <s v="N1004"/>
    <s v="Desktop"/>
    <s v="GG Traders"/>
    <d v="2024-01-04T00:00:00"/>
    <n v="100"/>
    <n v="21000"/>
    <n v="2100000"/>
  </r>
  <r>
    <s v="N1007"/>
    <s v="Camera"/>
    <s v="GG Traders"/>
    <d v="2024-01-05T00:00:00"/>
    <n v="20"/>
    <n v="52000"/>
    <n v="1040000"/>
  </r>
  <r>
    <s v="N1001"/>
    <s v="Smart Watch"/>
    <s v="Tech99"/>
    <d v="2024-01-06T00:00:00"/>
    <n v="40"/>
    <n v="980"/>
    <n v="39200"/>
  </r>
  <r>
    <s v="N1002"/>
    <s v="Laptop HP xyz i5"/>
    <s v="Tech99"/>
    <d v="2024-01-07T00:00:00"/>
    <n v="30"/>
    <n v="34500"/>
    <n v="1035000"/>
  </r>
  <r>
    <s v="N1003"/>
    <s v="Wireless Printer"/>
    <s v="Tech99"/>
    <d v="2024-01-08T00:00:00"/>
    <n v="40"/>
    <n v="4600"/>
    <n v="184000"/>
  </r>
  <r>
    <s v="N1009"/>
    <s v="Speakers"/>
    <s v="Compac"/>
    <d v="2024-01-09T00:00:00"/>
    <n v="55"/>
    <n v="670"/>
    <n v="36850"/>
  </r>
  <r>
    <s v="N1010"/>
    <s v="Tablets"/>
    <s v="Compac"/>
    <d v="2024-01-10T00:00:00"/>
    <n v="40"/>
    <n v="23500"/>
    <n v="940000"/>
  </r>
  <r>
    <s v="N1008"/>
    <s v="Headphones"/>
    <s v="Compac"/>
    <d v="2024-01-10T00:00:00"/>
    <n v="35"/>
    <n v="799"/>
    <n v="27965"/>
  </r>
  <r>
    <s v="N1007"/>
    <s v="Camera"/>
    <s v="GG Traders"/>
    <d v="2024-01-10T00:00:00"/>
    <n v="2"/>
    <n v="52000"/>
    <n v="104000"/>
  </r>
  <r>
    <s v="N1008"/>
    <s v="Headphones"/>
    <s v="Compac"/>
    <d v="2024-01-10T00:00:00"/>
    <n v="10"/>
    <n v="799"/>
    <n v="7990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  <r>
    <m/>
    <s v=""/>
    <s v=""/>
    <m/>
    <m/>
    <s v=""/>
    <s v="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s v="Smart Watch"/>
    <n v="980"/>
    <n v="1176"/>
  </r>
  <r>
    <s v="N1002"/>
    <s v="Laptop HP xyz i5"/>
    <n v="34500"/>
    <n v="41400"/>
  </r>
  <r>
    <s v="N1003"/>
    <s v="Wireless Printer"/>
    <n v="4600"/>
    <n v="5520"/>
  </r>
  <r>
    <s v="N1004"/>
    <s v="Desktop"/>
    <n v="21000"/>
    <n v="25200"/>
  </r>
  <r>
    <s v="N1005"/>
    <s v="Mouse"/>
    <n v="200"/>
    <n v="240"/>
  </r>
  <r>
    <s v="N1006"/>
    <s v="Rgb Keyboard"/>
    <n v="340"/>
    <n v="408"/>
  </r>
  <r>
    <s v="N1007"/>
    <s v="Camera"/>
    <n v="52000"/>
    <n v="62400"/>
  </r>
  <r>
    <s v="N1008"/>
    <s v="Headphones"/>
    <n v="799"/>
    <n v="958.8"/>
  </r>
  <r>
    <s v="N1009"/>
    <s v="Speakers"/>
    <n v="670"/>
    <n v="804"/>
  </r>
  <r>
    <s v="N1010"/>
    <s v="Tablets"/>
    <n v="23500"/>
    <n v="282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00"/>
    <s v="Ram sales"/>
    <s v="Ram@gmail.com"/>
    <s v="Delhi, India"/>
  </r>
  <r>
    <n v="101"/>
    <s v="Atul Ltd."/>
    <s v="Atu@gmail.com"/>
    <s v="121102, Palwal, HR"/>
  </r>
  <r>
    <n v="102"/>
    <s v="MK Tech."/>
    <s v="MK @gmail.com"/>
    <s v="Faridabad, 121101"/>
  </r>
  <r>
    <n v="103"/>
    <s v="99store"/>
    <s v="99s@gmail.com"/>
    <s v="Agra, UP"/>
  </r>
  <r>
    <n v="104"/>
    <s v="Rajesh Kumar"/>
    <s v="Raj@gmail.com"/>
    <s v="New Delhi, 110011"/>
  </r>
  <r>
    <n v="105"/>
    <s v="Amit "/>
    <s v="Ami@gmail.com"/>
    <s v="Gurgaon, Sec-15"/>
  </r>
  <r>
    <n v="106"/>
    <s v="Jain Tel."/>
    <s v="Jai@gmail.com"/>
    <s v="Janpath, New Delhi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N1001"/>
    <x v="0"/>
    <n v="980"/>
    <n v="40"/>
    <n v="4"/>
    <n v="36"/>
    <n v="35280"/>
    <s v=""/>
  </r>
  <r>
    <s v="N1002"/>
    <x v="1"/>
    <n v="34500"/>
    <n v="30"/>
    <n v="14"/>
    <n v="16"/>
    <n v="552000"/>
    <s v=""/>
  </r>
  <r>
    <s v="N1003"/>
    <x v="2"/>
    <n v="4600"/>
    <n v="40"/>
    <n v="5"/>
    <n v="35"/>
    <n v="161000"/>
    <s v=""/>
  </r>
  <r>
    <s v="N1004"/>
    <x v="3"/>
    <n v="21000"/>
    <n v="100"/>
    <n v="65"/>
    <n v="35"/>
    <n v="735000"/>
    <s v=""/>
  </r>
  <r>
    <s v="N1005"/>
    <x v="4"/>
    <n v="200"/>
    <n v="20"/>
    <n v="0"/>
    <n v="20"/>
    <n v="4000"/>
    <s v=""/>
  </r>
  <r>
    <s v="N1006"/>
    <x v="5"/>
    <n v="340"/>
    <n v="50"/>
    <n v="37"/>
    <n v="13"/>
    <n v="4420"/>
    <s v=""/>
  </r>
  <r>
    <s v="N1007"/>
    <x v="6"/>
    <n v="52000"/>
    <n v="22"/>
    <n v="8"/>
    <n v="14"/>
    <n v="728000"/>
    <s v=""/>
  </r>
  <r>
    <s v="N1008"/>
    <x v="7"/>
    <n v="799"/>
    <n v="55"/>
    <n v="42"/>
    <n v="13"/>
    <n v="10387"/>
    <s v=""/>
  </r>
  <r>
    <s v="N1009"/>
    <x v="8"/>
    <n v="670"/>
    <n v="55"/>
    <n v="52"/>
    <n v="3"/>
    <n v="2010"/>
    <s v="📞 Speakers Needs To Re-Order ! PH. 9814xxxxxx"/>
  </r>
  <r>
    <s v="N1010"/>
    <x v="9"/>
    <n v="23500"/>
    <n v="40"/>
    <n v="8"/>
    <n v="32"/>
    <n v="752000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F4616-D7A1-4B6E-8421-6F487933189A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4">
    <pivotField showAll="0"/>
    <pivotField dataField="1" showAll="0"/>
    <pivotField numFmtId="42" showAll="0"/>
    <pivotField numFmtId="42" showAll="0"/>
  </pivotFields>
  <rowItems count="1">
    <i/>
  </rowItems>
  <colItems count="1">
    <i/>
  </colItems>
  <dataFields count="1">
    <dataField name="Count of Produc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195CA-F339-406E-921A-768D722685FE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A3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9D09B-01F2-4326-977C-15240764636E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A17" firstHeaderRow="1" firstDataRow="1" firstDataCol="0"/>
  <pivotFields count="7"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Stock Amt.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79024-32AA-4AEB-88C5-BC6057F9EEF8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7">
    <pivotField showAll="0"/>
    <pivotField showAll="0"/>
    <pivotField showAll="0"/>
    <pivotField numFmtId="14" showAll="0"/>
    <pivotField showAll="0"/>
    <pivotField numFmtId="42" showAll="0"/>
    <pivotField dataField="1" numFmtId="42" showAll="0"/>
  </pivotFields>
  <rowItems count="1">
    <i/>
  </rowItems>
  <colItems count="1">
    <i/>
  </colItems>
  <dataFields count="1">
    <dataField name="Sum of Amount" fld="6" baseField="0" baseItem="0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E8DA40-6C07-4D1B-AB83-ABB0F6DBA762}" name="PivotTable19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E21:F32" firstHeaderRow="1" firstDataRow="1" firstDataCol="1"/>
  <pivotFields count="8">
    <pivotField showAll="0"/>
    <pivotField axis="axisRow" showAll="0">
      <items count="12">
        <item x="6"/>
        <item x="3"/>
        <item x="7"/>
        <item x="1"/>
        <item x="4"/>
        <item x="5"/>
        <item x="0"/>
        <item x="8"/>
        <item x="9"/>
        <item x="2"/>
        <item h="1" x="10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tock" fld="5" baseField="0" baseItem="0"/>
  </dataFields>
  <chartFormats count="3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1944E7-BCF5-489F-9505-367980F1C3E5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E12:F18" firstHeaderRow="1" firstDataRow="1" firstDataCol="1"/>
  <pivotFields count="9">
    <pivotField showAll="0"/>
    <pivotField showAll="0"/>
    <pivotField showAll="0"/>
    <pivotField axis="axisRow" showAll="0" measureFilter="1" sortType="ascending">
      <items count="11">
        <item x="2"/>
        <item x="0"/>
        <item x="3"/>
        <item x="1"/>
        <item x="5"/>
        <item x="4"/>
        <item x="6"/>
        <item x="7"/>
        <item x="9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dataField="1" showAll="0"/>
    <pivotField numFmtId="42" showAll="0"/>
    <pivotField numFmtId="42" showAll="0"/>
  </pivotFields>
  <rowFields count="1">
    <field x="3"/>
  </rowFields>
  <rowItems count="6">
    <i>
      <x v="2"/>
    </i>
    <i>
      <x v="3"/>
    </i>
    <i>
      <x v="1"/>
    </i>
    <i>
      <x v="4"/>
    </i>
    <i>
      <x/>
    </i>
    <i t="grand">
      <x/>
    </i>
  </rowItems>
  <colItems count="1">
    <i/>
  </colItems>
  <dataFields count="1">
    <dataField name="Sum of Units" fld="6" baseField="0" baseItem="0"/>
  </dataFields>
  <chartFormats count="3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8901B-ACBE-4A87-9BF1-ED699BAEF9AD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2:F8" firstHeaderRow="1" firstDataRow="1" firstDataCol="1"/>
  <pivotFields count="9">
    <pivotField showAll="0"/>
    <pivotField axis="axisRow" showAll="0" measureFilter="1" sortType="ascending">
      <items count="9">
        <item x="0"/>
        <item x="5"/>
        <item x="2"/>
        <item x="6"/>
        <item x="4"/>
        <item x="1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/>
    <pivotField showAll="0"/>
    <pivotField numFmtId="42" showAll="0"/>
    <pivotField dataField="1" numFmtId="42" showAll="0"/>
  </pivotFields>
  <rowFields count="1">
    <field x="1"/>
  </rowFields>
  <rowItems count="6">
    <i>
      <x v="2"/>
    </i>
    <i>
      <x v="1"/>
    </i>
    <i>
      <x v="5"/>
    </i>
    <i>
      <x v="4"/>
    </i>
    <i>
      <x/>
    </i>
    <i t="grand">
      <x/>
    </i>
  </rowItems>
  <colItems count="1">
    <i/>
  </colItems>
  <dataFields count="1">
    <dataField name="Sum of Amount" fld="8" baseField="0" baseItem="0" numFmtId="42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D83B7-5D13-45F8-80EA-FD9243E86B40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9">
    <pivotField showAll="0"/>
    <pivotField showAll="0"/>
    <pivotField showAll="0"/>
    <pivotField showAll="0"/>
    <pivotField numFmtId="14" showAll="0"/>
    <pivotField showAll="0"/>
    <pivotField showAll="0"/>
    <pivotField numFmtId="42" showAll="0"/>
    <pivotField dataField="1" numFmtId="42" showAll="0"/>
  </pivotFields>
  <rowItems count="1">
    <i/>
  </rowItems>
  <colItems count="1">
    <i/>
  </colItems>
  <dataFields count="1">
    <dataField name="Sum of Amount" fld="8" baseField="0" baseItem="0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8EDAF4-9F55-4D95-8363-29B2401224DA}" name="customersdata" displayName="customersdata" ref="D5:G12" totalsRowShown="0" headerRowDxfId="47" dataDxfId="46">
  <autoFilter ref="D5:G12" xr:uid="{0D8EDAF4-9F55-4D95-8363-29B2401224DA}"/>
  <tableColumns count="4">
    <tableColumn id="1" xr3:uid="{A028F778-FAE2-4DA3-9E91-62E658D36DF6}" name="Cust_ID" dataDxfId="45"/>
    <tableColumn id="2" xr3:uid="{BCB3C8F0-9DF4-4900-8C66-81EE87B434F8}" name="Name" dataDxfId="44"/>
    <tableColumn id="3" xr3:uid="{FE0BAB7F-3A2F-433A-9582-E73617E2FB67}" name="Email" dataDxfId="43"/>
    <tableColumn id="4" xr3:uid="{842A10DD-1F38-4C5D-8EFB-A221D293F165}" name="Address" dataDxfId="4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2D6322-E072-4CD6-B243-64F6749A3BC8}" name="vendorsdata" displayName="vendorsdata" ref="D5:H15" totalsRowShown="0" headerRowDxfId="41" dataDxfId="40">
  <autoFilter ref="D5:H15" xr:uid="{A12D6322-E072-4CD6-B243-64F6749A3BC8}"/>
  <tableColumns count="5">
    <tableColumn id="1" xr3:uid="{C918567B-AA6D-4722-901E-0B9DF50E02B0}" name="HSN Code" dataDxfId="39"/>
    <tableColumn id="2" xr3:uid="{C2C48FD5-FD9B-4E3C-98B8-D75FB6A2077A}" name="Product Name" dataDxfId="38"/>
    <tableColumn id="3" xr3:uid="{A07A3EE5-3FD1-4333-9581-2DDCDB3D7A8A}" name="Vendor Name" dataDxfId="37"/>
    <tableColumn id="4" xr3:uid="{8A74C083-67EC-4C86-BFF4-993ECEB89735}" name="Phone" dataDxfId="36"/>
    <tableColumn id="5" xr3:uid="{1193D20E-2B1E-4EA8-90A8-30BDFF23CFCB}" name="Address" dataDxfId="3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2B01B6-81F6-4929-A637-9CA357EBE280}" name="Table4" displayName="Table4" ref="D5:G15" totalsRowShown="0" headerRowDxfId="34">
  <autoFilter ref="D5:G15" xr:uid="{B32B01B6-81F6-4929-A637-9CA357EBE280}"/>
  <tableColumns count="4">
    <tableColumn id="1" xr3:uid="{08EDD484-6CDD-4BC0-91E5-06E7A4DE9FDA}" name="HSN Code" dataDxfId="33"/>
    <tableColumn id="2" xr3:uid="{62C7355B-8C5F-4CA0-84C6-CD709FC19FDF}" name="Product Name" dataDxfId="32"/>
    <tableColumn id="3" xr3:uid="{D65B4A46-653D-4F59-B768-AC754E8555A1}" name="Cost" dataDxfId="31"/>
    <tableColumn id="4" xr3:uid="{6028FF07-9D22-4D25-A68E-76575D20E9CB}" name="Selling Price" dataDxfId="3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69DB1B-F78C-440F-8379-D74F3737A441}" name="purchase" displayName="purchase" ref="D5:J22" totalsRowShown="0" headerRowDxfId="29" dataDxfId="28">
  <autoFilter ref="D5:J22" xr:uid="{7F69DB1B-F78C-440F-8379-D74F3737A441}"/>
  <tableColumns count="7">
    <tableColumn id="1" xr3:uid="{281F2F20-031A-4206-BE02-B74A64165CDE}" name="HSN Code" dataDxfId="27"/>
    <tableColumn id="2" xr3:uid="{58E6BB63-F36F-47AB-8E5F-3D0968883888}" name="Product Name" dataDxfId="26">
      <calculatedColumnFormula>IFERROR(VLOOKUP(purchase[[#This Row],[HSN Code]],Table4[#All],2,0),"")</calculatedColumnFormula>
    </tableColumn>
    <tableColumn id="3" xr3:uid="{C0D568B3-CC9D-4E41-9E03-F05F5F4B75AE}" name="Vendor" dataDxfId="25">
      <calculatedColumnFormula>IFERROR(VLOOKUP(purchase[[#This Row],[HSN Code]],vendorsdata[#All],3,0),"")</calculatedColumnFormula>
    </tableColumn>
    <tableColumn id="4" xr3:uid="{E7264B9C-1D7E-4A57-935A-E4EDF2794062}" name="Date" dataDxfId="24"/>
    <tableColumn id="5" xr3:uid="{C70A9A5A-AF9E-4E17-855D-CFA6DC456170}" name="Units" dataDxfId="23"/>
    <tableColumn id="6" xr3:uid="{313BBF4F-C6E1-4967-9FE1-5BB23793BA88}" name="Cost" dataDxfId="22">
      <calculatedColumnFormula>IFERROR(VLOOKUP(purchase[[#This Row],[HSN Code]],Table4[#All],3,0),"")</calculatedColumnFormula>
    </tableColumn>
    <tableColumn id="7" xr3:uid="{F7BEFE5D-F2EE-41A6-9CE6-265FCB997B14}" name="Amount" dataDxfId="21">
      <calculatedColumnFormula>IFERROR(purchase[[#This Row],[Units]]*purchase[[#This Row],[Cost]],"")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ED9A71-0A3D-4455-94EF-277D3CC83DA3}" name="sales" displayName="sales" ref="D5:L21" totalsRowShown="0" headerRowDxfId="20" dataDxfId="19">
  <tableColumns count="9">
    <tableColumn id="1" xr3:uid="{A0F7ED1A-E4E3-4EA1-BA05-75F57C56799A}" name="Cust_ID" dataDxfId="18"/>
    <tableColumn id="2" xr3:uid="{256C1B52-FCC4-4F50-B756-A3AC152CA9E5}" name="Cust_Name" dataDxfId="17">
      <calculatedColumnFormula>IFERROR(VLOOKUP(sales[[#This Row],[Cust_ID]],customersdata[#All],2,0),"")</calculatedColumnFormula>
    </tableColumn>
    <tableColumn id="3" xr3:uid="{FE9140E4-CB8B-4372-BEA9-CCD9BF62B00E}" name="HSN Code" dataDxfId="16"/>
    <tableColumn id="4" xr3:uid="{2A0A64FE-6454-43F5-B726-85CC124EEBC8}" name="Product Name" dataDxfId="15">
      <calculatedColumnFormula>IFERROR(VLOOKUP(sales[[#This Row],[HSN Code]],Table4[#All],2,0),"")</calculatedColumnFormula>
    </tableColumn>
    <tableColumn id="5" xr3:uid="{A003305E-C804-41D6-9152-341D318EE379}" name="Date" dataDxfId="14"/>
    <tableColumn id="6" xr3:uid="{D17F4138-C7C6-406B-A63C-90F1DDCFBEBF}" name="Stock(Units)" dataDxfId="13">
      <calculatedColumnFormula>IFERROR(VLOOKUP(sales[[#This Row],[HSN Code]],Table7[[#All],[HSN Code]:[Stock]],6,0),"")</calculatedColumnFormula>
    </tableColumn>
    <tableColumn id="7" xr3:uid="{C7B052F3-CCF7-4E96-877D-3F26A203BDFF}" name="Units" dataDxfId="12"/>
    <tableColumn id="8" xr3:uid="{02D41819-BB7A-46F6-BD5C-0188DF9772A0}" name="Price" dataDxfId="11">
      <calculatedColumnFormula>IFERROR(VLOOKUP(sales[[#This Row],[HSN Code]],Table4[#All],4,0),"")</calculatedColumnFormula>
    </tableColumn>
    <tableColumn id="9" xr3:uid="{2FB962C8-D7FC-4E2D-8174-D8A15E771C1B}" name="Amount" dataDxfId="10">
      <calculatedColumnFormula>IFERROR(sales[[#This Row],[Units]]*sales[[#This Row],[Price]],"")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F3C46D-4B6E-4F1F-BC80-5D1AE2A51D2B}" name="Table7" displayName="Table7" ref="D5:K18" totalsRowShown="0" headerRowDxfId="9" dataDxfId="8">
  <autoFilter ref="D5:K18" xr:uid="{09F3C46D-4B6E-4F1F-BC80-5D1AE2A51D2B}"/>
  <tableColumns count="8">
    <tableColumn id="1" xr3:uid="{FEA2C901-8333-45F5-AD7B-289B7EEB07A3}" name="HSN Code" dataDxfId="7">
      <calculatedColumnFormula>IFERROR(Table4[[#This Row],[HSN Code]],"")</calculatedColumnFormula>
    </tableColumn>
    <tableColumn id="2" xr3:uid="{5B409354-BCF7-4A87-B8A5-ECC6BA2FC4E7}" name="Product Name" dataDxfId="6">
      <calculatedColumnFormula>IFERROR(Table4[[#This Row],[Product Name]],"")</calculatedColumnFormula>
    </tableColumn>
    <tableColumn id="3" xr3:uid="{33A3B97F-F797-48FB-B05C-5FC1D76C4611}" name="Cost" dataDxfId="5">
      <calculatedColumnFormula>IFERROR(Table4[[#This Row],[Cost]],"")</calculatedColumnFormula>
    </tableColumn>
    <tableColumn id="4" xr3:uid="{81A9F783-F5A1-42A4-A34C-E453BEBBC4DA}" name="P Units" dataDxfId="4">
      <calculatedColumnFormula>SUMIF(purchase[Product Name],Table7[[#This Row],[Product Name]],purchase[Units])</calculatedColumnFormula>
    </tableColumn>
    <tableColumn id="5" xr3:uid="{482669EB-EC97-42F4-B888-565CCCD2CC30}" name="S Units" dataDxfId="3">
      <calculatedColumnFormula>SUMIF(sales[Product Name],Table7[[#This Row],[Product Name]],sales[Units])</calculatedColumnFormula>
    </tableColumn>
    <tableColumn id="6" xr3:uid="{7C00E586-B911-4250-82F9-09788CBA5FE0}" name="Stock" dataDxfId="2">
      <calculatedColumnFormula>Table7[[#This Row],[P Units]]-Table7[[#This Row],[S Units]]</calculatedColumnFormula>
    </tableColumn>
    <tableColumn id="8" xr3:uid="{2D8C8997-402C-47FE-A877-DACA414D2822}" name="Stock Amt." dataDxfId="1">
      <calculatedColumnFormula>IFERROR(Table7[[#This Row],[Cost]]*Table7[[#This Row],[Stock]],"")</calculatedColumnFormula>
    </tableColumn>
    <tableColumn id="7" xr3:uid="{E0C323AF-E1F3-4B76-AAA2-29F55812982A}" name="notifications" dataDxfId="0">
      <calculatedColumnFormula>IFERROR(IF(Table7[[#This Row],[Stock]]&lt;5,"📞 "&amp;Table7[[#This Row],[Product Name]]&amp;" Needs To Re-Order ! PH. "&amp;VLOOKUP(Table7[[#This Row],[HSN Code]],vendorsdata[#All],4,0),""),"")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5040-6543-4E5F-A738-DF6AD96DCB7C}">
  <dimension ref="A1:O20"/>
  <sheetViews>
    <sheetView showGridLines="0" showRowColHeaders="0" tabSelected="1" zoomScaleNormal="100" workbookViewId="0">
      <selection activeCell="K3" sqref="K3"/>
    </sheetView>
  </sheetViews>
  <sheetFormatPr defaultColWidth="8.8203125" defaultRowHeight="25.8" x14ac:dyDescent="0.5"/>
  <cols>
    <col min="1" max="1" width="1.64453125" style="1" customWidth="1"/>
    <col min="2" max="2" width="14.46875" customWidth="1"/>
    <col min="3" max="3" width="1.76171875" style="1" customWidth="1"/>
    <col min="4" max="7" width="8.8203125" style="1"/>
    <col min="8" max="8" width="14.41015625" style="1" customWidth="1"/>
    <col min="9" max="9" width="25.8203125" style="1" customWidth="1"/>
    <col min="10" max="16384" width="8.8203125" style="1"/>
  </cols>
  <sheetData>
    <row r="1" spans="1:15" x14ac:dyDescent="0.5">
      <c r="A1" s="1">
        <v>23</v>
      </c>
      <c r="B1" s="1"/>
    </row>
    <row r="2" spans="1:15" x14ac:dyDescent="0.5">
      <c r="A2" s="1">
        <v>1.01111111111111</v>
      </c>
      <c r="B2" s="13"/>
      <c r="O2" s="2"/>
    </row>
    <row r="3" spans="1:15" x14ac:dyDescent="0.5">
      <c r="B3" s="14"/>
    </row>
    <row r="4" spans="1:15" x14ac:dyDescent="0.5">
      <c r="A4" s="1">
        <v>2</v>
      </c>
      <c r="B4" s="14"/>
    </row>
    <row r="5" spans="1:15" x14ac:dyDescent="0.5">
      <c r="B5" s="14"/>
    </row>
    <row r="6" spans="1:15" x14ac:dyDescent="0.5">
      <c r="B6" s="14"/>
    </row>
    <row r="7" spans="1:15" x14ac:dyDescent="0.5">
      <c r="B7" s="14"/>
      <c r="I7" s="18" t="s">
        <v>79</v>
      </c>
    </row>
    <row r="8" spans="1:15" x14ac:dyDescent="0.5">
      <c r="B8" s="14"/>
      <c r="I8" s="16" t="str" cm="1">
        <f t="array" ref="I8:I11">_xlfn._xlws.FILTER(Table7[notifications],Table7[notifications]&lt;&gt;"")</f>
        <v>📞 Smart Watch Needs To Re-Order ! PH. 9812xxxxxx</v>
      </c>
    </row>
    <row r="9" spans="1:15" x14ac:dyDescent="0.5">
      <c r="B9" s="14"/>
      <c r="I9" s="16" t="str">
        <v>📞 Laptop HP xyz i5 Needs To Re-Order ! PH. 9812xxxxxx</v>
      </c>
    </row>
    <row r="10" spans="1:15" x14ac:dyDescent="0.5">
      <c r="B10" s="14" t="s">
        <v>0</v>
      </c>
      <c r="I10" s="16" t="str">
        <v>📞 Speakers Needs To Re-Order ! PH. 9814xxxxxx</v>
      </c>
    </row>
    <row r="11" spans="1:15" x14ac:dyDescent="0.5">
      <c r="B11" s="14"/>
      <c r="I11" s="16" t="str">
        <v>📞 Tablets Needs To Re-Order ! PH. 9814xxxxxx</v>
      </c>
    </row>
    <row r="12" spans="1:15" x14ac:dyDescent="0.5">
      <c r="B12" s="14"/>
      <c r="I12" s="16"/>
    </row>
    <row r="13" spans="1:15" x14ac:dyDescent="0.5">
      <c r="B13" s="14"/>
      <c r="I13" s="16"/>
    </row>
    <row r="14" spans="1:15" x14ac:dyDescent="0.5">
      <c r="B14" s="14"/>
      <c r="I14" s="16"/>
    </row>
    <row r="15" spans="1:15" x14ac:dyDescent="0.5">
      <c r="B15" s="14"/>
      <c r="I15" s="16"/>
    </row>
    <row r="16" spans="1:15" x14ac:dyDescent="0.5">
      <c r="B16" s="14"/>
      <c r="I16" s="16"/>
    </row>
    <row r="17" spans="2:9" x14ac:dyDescent="0.5">
      <c r="B17" s="14"/>
      <c r="I17" s="16"/>
    </row>
    <row r="18" spans="2:9" x14ac:dyDescent="0.5">
      <c r="B18" s="14"/>
      <c r="I18" s="16"/>
    </row>
    <row r="19" spans="2:9" x14ac:dyDescent="0.5">
      <c r="B19" s="15"/>
      <c r="I19" s="17"/>
    </row>
    <row r="20" spans="2:9" x14ac:dyDescent="0.5">
      <c r="B20" s="8"/>
      <c r="C20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CAD7F-460B-478F-AB15-7C7D4B9B9276}">
  <dimension ref="B1:Q20"/>
  <sheetViews>
    <sheetView showRowColHeaders="0" zoomScaleNormal="100" workbookViewId="0"/>
  </sheetViews>
  <sheetFormatPr defaultColWidth="8.8203125" defaultRowHeight="25.8" x14ac:dyDescent="0.5"/>
  <cols>
    <col min="1" max="1" width="1.64453125" style="1" customWidth="1"/>
    <col min="2" max="2" width="14.46875" customWidth="1"/>
    <col min="3" max="3" width="1.76171875" style="1" customWidth="1"/>
    <col min="4" max="4" width="8.8203125" style="1" customWidth="1"/>
    <col min="5" max="8" width="15.64453125" style="1" customWidth="1"/>
    <col min="9" max="16384" width="8.8203125" style="1"/>
  </cols>
  <sheetData>
    <row r="1" spans="2:17" x14ac:dyDescent="0.5">
      <c r="B1" s="1"/>
    </row>
    <row r="2" spans="2:17" x14ac:dyDescent="0.5">
      <c r="B2" s="13"/>
      <c r="Q2" s="2"/>
    </row>
    <row r="3" spans="2:17" x14ac:dyDescent="0.5">
      <c r="B3" s="14"/>
    </row>
    <row r="4" spans="2:17" x14ac:dyDescent="0.5">
      <c r="B4" s="14"/>
    </row>
    <row r="5" spans="2:17" x14ac:dyDescent="0.5">
      <c r="B5" s="14"/>
      <c r="D5" s="3" t="s">
        <v>1</v>
      </c>
      <c r="E5" s="4" t="s">
        <v>2</v>
      </c>
      <c r="F5" s="4" t="s">
        <v>3</v>
      </c>
      <c r="G5" s="4" t="s">
        <v>4</v>
      </c>
    </row>
    <row r="6" spans="2:17" x14ac:dyDescent="0.5">
      <c r="B6" s="14"/>
      <c r="D6" s="3">
        <v>100</v>
      </c>
      <c r="E6" s="4" t="s">
        <v>5</v>
      </c>
      <c r="F6" s="4" t="s">
        <v>6</v>
      </c>
      <c r="G6" s="4" t="s">
        <v>7</v>
      </c>
    </row>
    <row r="7" spans="2:17" x14ac:dyDescent="0.5">
      <c r="B7" s="14"/>
      <c r="D7" s="3">
        <v>101</v>
      </c>
      <c r="E7" s="4" t="s">
        <v>8</v>
      </c>
      <c r="F7" s="4" t="s">
        <v>9</v>
      </c>
      <c r="G7" s="4" t="s">
        <v>10</v>
      </c>
    </row>
    <row r="8" spans="2:17" x14ac:dyDescent="0.5">
      <c r="B8" s="14"/>
      <c r="D8" s="3">
        <v>102</v>
      </c>
      <c r="E8" s="4" t="s">
        <v>11</v>
      </c>
      <c r="F8" s="4" t="s">
        <v>12</v>
      </c>
      <c r="G8" s="4" t="s">
        <v>13</v>
      </c>
    </row>
    <row r="9" spans="2:17" x14ac:dyDescent="0.5">
      <c r="B9" s="14"/>
      <c r="D9" s="3">
        <v>103</v>
      </c>
      <c r="E9" s="4" t="s">
        <v>14</v>
      </c>
      <c r="F9" s="4" t="s">
        <v>15</v>
      </c>
      <c r="G9" s="4" t="s">
        <v>16</v>
      </c>
    </row>
    <row r="10" spans="2:17" x14ac:dyDescent="0.5">
      <c r="B10" s="14" t="s">
        <v>0</v>
      </c>
      <c r="D10" s="3">
        <v>104</v>
      </c>
      <c r="E10" s="4" t="s">
        <v>17</v>
      </c>
      <c r="F10" s="4" t="s">
        <v>18</v>
      </c>
      <c r="G10" s="4" t="s">
        <v>19</v>
      </c>
    </row>
    <row r="11" spans="2:17" x14ac:dyDescent="0.5">
      <c r="B11" s="14"/>
      <c r="D11" s="3">
        <v>105</v>
      </c>
      <c r="E11" s="4" t="s">
        <v>20</v>
      </c>
      <c r="F11" s="4" t="s">
        <v>21</v>
      </c>
      <c r="G11" s="4" t="s">
        <v>22</v>
      </c>
    </row>
    <row r="12" spans="2:17" x14ac:dyDescent="0.5">
      <c r="B12" s="14"/>
      <c r="D12" s="3">
        <v>106</v>
      </c>
      <c r="E12" s="4" t="s">
        <v>23</v>
      </c>
      <c r="F12" s="4" t="s">
        <v>24</v>
      </c>
      <c r="G12" s="4" t="s">
        <v>25</v>
      </c>
    </row>
    <row r="13" spans="2:17" x14ac:dyDescent="0.5">
      <c r="B13" s="14"/>
    </row>
    <row r="14" spans="2:17" x14ac:dyDescent="0.5">
      <c r="B14" s="14"/>
    </row>
    <row r="15" spans="2:17" x14ac:dyDescent="0.5">
      <c r="B15" s="14"/>
    </row>
    <row r="16" spans="2:17" x14ac:dyDescent="0.5">
      <c r="B16" s="14"/>
    </row>
    <row r="17" spans="2:2" x14ac:dyDescent="0.5">
      <c r="B17" s="14"/>
    </row>
    <row r="18" spans="2:2" x14ac:dyDescent="0.5">
      <c r="B18" s="14"/>
    </row>
    <row r="19" spans="2:2" x14ac:dyDescent="0.5">
      <c r="B19" s="15"/>
    </row>
    <row r="20" spans="2:2" x14ac:dyDescent="0.5">
      <c r="B20" s="8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B58F-57CA-4487-A38A-E02C7AD46304}">
  <dimension ref="B1:Q21"/>
  <sheetViews>
    <sheetView showRowColHeaders="0" workbookViewId="0"/>
  </sheetViews>
  <sheetFormatPr defaultColWidth="8.8203125" defaultRowHeight="25.8" x14ac:dyDescent="0.5"/>
  <cols>
    <col min="1" max="1" width="1.64453125" style="1" customWidth="1"/>
    <col min="2" max="2" width="14.46875" customWidth="1"/>
    <col min="3" max="3" width="1.76171875" style="1" customWidth="1"/>
    <col min="4" max="4" width="8.8203125" style="1"/>
    <col min="5" max="8" width="13.8203125" style="1" customWidth="1"/>
    <col min="9" max="16384" width="8.8203125" style="1"/>
  </cols>
  <sheetData>
    <row r="1" spans="2:17" x14ac:dyDescent="0.5">
      <c r="B1" s="1"/>
    </row>
    <row r="2" spans="2:17" x14ac:dyDescent="0.5">
      <c r="B2" s="13"/>
      <c r="Q2" s="2"/>
    </row>
    <row r="3" spans="2:17" x14ac:dyDescent="0.5">
      <c r="B3" s="14"/>
    </row>
    <row r="4" spans="2:17" x14ac:dyDescent="0.5">
      <c r="B4" s="14"/>
    </row>
    <row r="5" spans="2:17" x14ac:dyDescent="0.5">
      <c r="B5" s="14"/>
      <c r="D5" s="4" t="s">
        <v>26</v>
      </c>
      <c r="E5" s="4" t="s">
        <v>27</v>
      </c>
      <c r="F5" s="4" t="s">
        <v>28</v>
      </c>
      <c r="G5" s="4" t="s">
        <v>29</v>
      </c>
      <c r="H5" s="4" t="s">
        <v>4</v>
      </c>
    </row>
    <row r="6" spans="2:17" x14ac:dyDescent="0.5">
      <c r="B6" s="14"/>
      <c r="D6" s="4" t="s">
        <v>30</v>
      </c>
      <c r="E6" s="4" t="s">
        <v>31</v>
      </c>
      <c r="F6" s="4" t="s">
        <v>32</v>
      </c>
      <c r="G6" s="4" t="s">
        <v>33</v>
      </c>
      <c r="H6" s="4" t="s">
        <v>13</v>
      </c>
    </row>
    <row r="7" spans="2:17" x14ac:dyDescent="0.5">
      <c r="B7" s="14"/>
      <c r="D7" s="4" t="s">
        <v>34</v>
      </c>
      <c r="E7" s="4" t="s">
        <v>35</v>
      </c>
      <c r="F7" s="4" t="s">
        <v>32</v>
      </c>
      <c r="G7" s="4" t="s">
        <v>33</v>
      </c>
      <c r="H7" s="4" t="s">
        <v>36</v>
      </c>
    </row>
    <row r="8" spans="2:17" x14ac:dyDescent="0.5">
      <c r="B8" s="14"/>
      <c r="D8" s="4" t="s">
        <v>37</v>
      </c>
      <c r="E8" s="4" t="s">
        <v>38</v>
      </c>
      <c r="F8" s="4" t="s">
        <v>32</v>
      </c>
      <c r="G8" s="4" t="s">
        <v>33</v>
      </c>
      <c r="H8" s="4" t="s">
        <v>39</v>
      </c>
    </row>
    <row r="9" spans="2:17" x14ac:dyDescent="0.5">
      <c r="B9" s="14"/>
      <c r="D9" s="4" t="s">
        <v>40</v>
      </c>
      <c r="E9" s="4" t="s">
        <v>41</v>
      </c>
      <c r="F9" s="4" t="s">
        <v>42</v>
      </c>
      <c r="G9" s="4" t="s">
        <v>43</v>
      </c>
      <c r="H9" s="4" t="s">
        <v>22</v>
      </c>
    </row>
    <row r="10" spans="2:17" x14ac:dyDescent="0.5">
      <c r="B10" s="14" t="s">
        <v>0</v>
      </c>
      <c r="D10" s="4" t="s">
        <v>44</v>
      </c>
      <c r="E10" s="4" t="s">
        <v>45</v>
      </c>
      <c r="F10" s="4" t="s">
        <v>42</v>
      </c>
      <c r="G10" s="4" t="s">
        <v>43</v>
      </c>
      <c r="H10" s="4" t="s">
        <v>46</v>
      </c>
    </row>
    <row r="11" spans="2:17" x14ac:dyDescent="0.5">
      <c r="B11" s="14"/>
      <c r="D11" s="4" t="s">
        <v>47</v>
      </c>
      <c r="E11" s="4" t="s">
        <v>48</v>
      </c>
      <c r="F11" s="4" t="s">
        <v>42</v>
      </c>
      <c r="G11" s="4" t="s">
        <v>43</v>
      </c>
      <c r="H11" s="4" t="s">
        <v>49</v>
      </c>
    </row>
    <row r="12" spans="2:17" x14ac:dyDescent="0.5">
      <c r="B12" s="14"/>
      <c r="D12" s="4" t="s">
        <v>50</v>
      </c>
      <c r="E12" s="4" t="s">
        <v>51</v>
      </c>
      <c r="F12" s="4" t="s">
        <v>42</v>
      </c>
      <c r="G12" s="4" t="s">
        <v>43</v>
      </c>
      <c r="H12" s="4" t="s">
        <v>52</v>
      </c>
    </row>
    <row r="13" spans="2:17" x14ac:dyDescent="0.5">
      <c r="B13" s="14"/>
      <c r="D13" s="4" t="s">
        <v>53</v>
      </c>
      <c r="E13" s="4" t="s">
        <v>54</v>
      </c>
      <c r="F13" s="4" t="s">
        <v>55</v>
      </c>
      <c r="G13" s="4" t="s">
        <v>56</v>
      </c>
      <c r="H13" s="4" t="s">
        <v>57</v>
      </c>
    </row>
    <row r="14" spans="2:17" x14ac:dyDescent="0.5">
      <c r="B14" s="14"/>
      <c r="D14" s="4" t="s">
        <v>58</v>
      </c>
      <c r="E14" s="4" t="s">
        <v>59</v>
      </c>
      <c r="F14" s="4" t="s">
        <v>55</v>
      </c>
      <c r="G14" s="4" t="s">
        <v>56</v>
      </c>
      <c r="H14" s="4" t="s">
        <v>60</v>
      </c>
    </row>
    <row r="15" spans="2:17" x14ac:dyDescent="0.5">
      <c r="B15" s="14"/>
      <c r="D15" s="4" t="s">
        <v>61</v>
      </c>
      <c r="E15" s="4" t="s">
        <v>62</v>
      </c>
      <c r="F15" s="4" t="s">
        <v>55</v>
      </c>
      <c r="G15" s="4" t="s">
        <v>56</v>
      </c>
      <c r="H15" s="4" t="s">
        <v>63</v>
      </c>
    </row>
    <row r="16" spans="2:17" x14ac:dyDescent="0.5">
      <c r="B16" s="14"/>
    </row>
    <row r="17" spans="2:2" x14ac:dyDescent="0.5">
      <c r="B17" s="14"/>
    </row>
    <row r="18" spans="2:2" x14ac:dyDescent="0.5">
      <c r="B18" s="14"/>
    </row>
    <row r="19" spans="2:2" x14ac:dyDescent="0.5">
      <c r="B19" s="15"/>
    </row>
    <row r="20" spans="2:2" x14ac:dyDescent="0.5">
      <c r="B20" s="8"/>
    </row>
    <row r="21" spans="2:2" x14ac:dyDescent="0.5">
      <c r="B21" s="8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EE56-2F64-4BB9-9E5F-7EEE213B80E7}">
  <dimension ref="B1:Q21"/>
  <sheetViews>
    <sheetView showRowColHeaders="0" workbookViewId="0">
      <selection activeCell="E10" sqref="E10"/>
    </sheetView>
  </sheetViews>
  <sheetFormatPr defaultColWidth="8.8203125" defaultRowHeight="25.8" x14ac:dyDescent="0.5"/>
  <cols>
    <col min="1" max="1" width="1.64453125" style="1" customWidth="1"/>
    <col min="2" max="2" width="14.46875" customWidth="1"/>
    <col min="3" max="3" width="1.76171875" style="1" customWidth="1"/>
    <col min="4" max="4" width="8.8203125" style="1"/>
    <col min="5" max="5" width="15.76171875" style="1" customWidth="1"/>
    <col min="6" max="6" width="9.64453125" style="1" bestFit="1" customWidth="1"/>
    <col min="7" max="7" width="9.8203125" style="1" customWidth="1"/>
    <col min="8" max="16384" width="8.8203125" style="1"/>
  </cols>
  <sheetData>
    <row r="1" spans="2:17" x14ac:dyDescent="0.5">
      <c r="B1" s="1"/>
    </row>
    <row r="2" spans="2:17" x14ac:dyDescent="0.5">
      <c r="B2" s="13"/>
      <c r="Q2" s="2"/>
    </row>
    <row r="3" spans="2:17" x14ac:dyDescent="0.5">
      <c r="B3" s="14"/>
    </row>
    <row r="4" spans="2:17" x14ac:dyDescent="0.5">
      <c r="B4" s="14"/>
    </row>
    <row r="5" spans="2:17" x14ac:dyDescent="0.5">
      <c r="B5" s="14"/>
      <c r="D5" s="4" t="s">
        <v>26</v>
      </c>
      <c r="E5" s="4" t="s">
        <v>27</v>
      </c>
      <c r="F5" s="4" t="s">
        <v>64</v>
      </c>
      <c r="G5" s="4" t="s">
        <v>65</v>
      </c>
    </row>
    <row r="6" spans="2:17" x14ac:dyDescent="0.5">
      <c r="B6" s="14"/>
      <c r="D6" s="4" t="s">
        <v>30</v>
      </c>
      <c r="E6" s="4" t="s">
        <v>31</v>
      </c>
      <c r="F6" s="5">
        <v>980</v>
      </c>
      <c r="G6" s="5">
        <v>1176</v>
      </c>
    </row>
    <row r="7" spans="2:17" x14ac:dyDescent="0.5">
      <c r="B7" s="14"/>
      <c r="D7" s="4" t="s">
        <v>34</v>
      </c>
      <c r="E7" s="4" t="s">
        <v>35</v>
      </c>
      <c r="F7" s="5">
        <v>34500</v>
      </c>
      <c r="G7" s="5">
        <v>41400</v>
      </c>
    </row>
    <row r="8" spans="2:17" x14ac:dyDescent="0.5">
      <c r="B8" s="14"/>
      <c r="D8" s="4" t="s">
        <v>37</v>
      </c>
      <c r="E8" s="4" t="s">
        <v>38</v>
      </c>
      <c r="F8" s="5">
        <v>4600</v>
      </c>
      <c r="G8" s="5">
        <v>5520</v>
      </c>
    </row>
    <row r="9" spans="2:17" x14ac:dyDescent="0.5">
      <c r="B9" s="14"/>
      <c r="D9" s="4" t="s">
        <v>40</v>
      </c>
      <c r="E9" s="4" t="s">
        <v>41</v>
      </c>
      <c r="F9" s="5">
        <v>21000</v>
      </c>
      <c r="G9" s="5">
        <v>25200</v>
      </c>
    </row>
    <row r="10" spans="2:17" x14ac:dyDescent="0.5">
      <c r="B10" s="14" t="s">
        <v>0</v>
      </c>
      <c r="D10" s="4" t="s">
        <v>44</v>
      </c>
      <c r="E10" s="4" t="s">
        <v>45</v>
      </c>
      <c r="F10" s="5">
        <v>200</v>
      </c>
      <c r="G10" s="5">
        <v>240</v>
      </c>
    </row>
    <row r="11" spans="2:17" x14ac:dyDescent="0.5">
      <c r="B11" s="14"/>
      <c r="D11" s="4" t="s">
        <v>47</v>
      </c>
      <c r="E11" s="4" t="s">
        <v>48</v>
      </c>
      <c r="F11" s="5">
        <v>340</v>
      </c>
      <c r="G11" s="5">
        <v>408</v>
      </c>
    </row>
    <row r="12" spans="2:17" x14ac:dyDescent="0.5">
      <c r="B12" s="14"/>
      <c r="D12" s="4" t="s">
        <v>50</v>
      </c>
      <c r="E12" s="4" t="s">
        <v>51</v>
      </c>
      <c r="F12" s="5">
        <v>52000</v>
      </c>
      <c r="G12" s="5">
        <v>62400</v>
      </c>
    </row>
    <row r="13" spans="2:17" x14ac:dyDescent="0.5">
      <c r="B13" s="14"/>
      <c r="D13" s="4" t="s">
        <v>53</v>
      </c>
      <c r="E13" s="4" t="s">
        <v>54</v>
      </c>
      <c r="F13" s="5">
        <v>799</v>
      </c>
      <c r="G13" s="5">
        <v>958.8</v>
      </c>
    </row>
    <row r="14" spans="2:17" x14ac:dyDescent="0.5">
      <c r="B14" s="14"/>
      <c r="D14" s="4" t="s">
        <v>58</v>
      </c>
      <c r="E14" s="4" t="s">
        <v>59</v>
      </c>
      <c r="F14" s="5">
        <v>670</v>
      </c>
      <c r="G14" s="5">
        <v>804</v>
      </c>
    </row>
    <row r="15" spans="2:17" x14ac:dyDescent="0.5">
      <c r="B15" s="14"/>
      <c r="D15" s="4" t="s">
        <v>61</v>
      </c>
      <c r="E15" s="4" t="s">
        <v>62</v>
      </c>
      <c r="F15" s="5">
        <v>23500</v>
      </c>
      <c r="G15" s="5">
        <v>28200</v>
      </c>
    </row>
    <row r="16" spans="2:17" x14ac:dyDescent="0.5">
      <c r="B16" s="14"/>
    </row>
    <row r="17" spans="2:2" x14ac:dyDescent="0.5">
      <c r="B17" s="14"/>
    </row>
    <row r="18" spans="2:2" x14ac:dyDescent="0.5">
      <c r="B18" s="14"/>
    </row>
    <row r="19" spans="2:2" x14ac:dyDescent="0.5">
      <c r="B19" s="15"/>
    </row>
    <row r="20" spans="2:2" x14ac:dyDescent="0.5">
      <c r="B20" s="8"/>
    </row>
    <row r="21" spans="2:2" x14ac:dyDescent="0.5">
      <c r="B21" s="8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2F8F-60CD-4227-964B-285CFC45191D}">
  <dimension ref="B1:Q21"/>
  <sheetViews>
    <sheetView showRowColHeaders="0" workbookViewId="0">
      <selection activeCell="E8" sqref="E8"/>
    </sheetView>
  </sheetViews>
  <sheetFormatPr defaultColWidth="8.8203125" defaultRowHeight="25.8" x14ac:dyDescent="0.5"/>
  <cols>
    <col min="1" max="1" width="1.64453125" style="1" customWidth="1"/>
    <col min="2" max="2" width="14.46875" customWidth="1"/>
    <col min="3" max="3" width="1.76171875" style="1" customWidth="1"/>
    <col min="4" max="4" width="8.8203125" style="1"/>
    <col min="5" max="5" width="17.234375" style="1" customWidth="1"/>
    <col min="6" max="16384" width="8.8203125" style="1"/>
  </cols>
  <sheetData>
    <row r="1" spans="2:17" x14ac:dyDescent="0.5">
      <c r="B1" s="1"/>
    </row>
    <row r="2" spans="2:17" x14ac:dyDescent="0.5">
      <c r="B2" s="13"/>
      <c r="Q2" s="2"/>
    </row>
    <row r="3" spans="2:17" x14ac:dyDescent="0.5">
      <c r="B3" s="14"/>
    </row>
    <row r="4" spans="2:17" x14ac:dyDescent="0.5">
      <c r="B4" s="14"/>
    </row>
    <row r="5" spans="2:17" x14ac:dyDescent="0.5">
      <c r="B5" s="14"/>
    </row>
    <row r="6" spans="2:17" x14ac:dyDescent="0.5">
      <c r="B6" s="14"/>
      <c r="E6" s="6" t="s">
        <v>66</v>
      </c>
    </row>
    <row r="7" spans="2:17" x14ac:dyDescent="0.5">
      <c r="B7" s="14"/>
    </row>
    <row r="8" spans="2:17" x14ac:dyDescent="0.5">
      <c r="B8" s="14"/>
      <c r="E8" s="6" t="s">
        <v>67</v>
      </c>
    </row>
    <row r="9" spans="2:17" x14ac:dyDescent="0.5">
      <c r="B9" s="14"/>
    </row>
    <row r="10" spans="2:17" x14ac:dyDescent="0.5">
      <c r="B10" s="14" t="s">
        <v>0</v>
      </c>
    </row>
    <row r="11" spans="2:17" x14ac:dyDescent="0.5">
      <c r="B11" s="14"/>
    </row>
    <row r="12" spans="2:17" x14ac:dyDescent="0.5">
      <c r="B12" s="14"/>
    </row>
    <row r="13" spans="2:17" x14ac:dyDescent="0.5">
      <c r="B13" s="14"/>
    </row>
    <row r="14" spans="2:17" x14ac:dyDescent="0.5">
      <c r="B14" s="14"/>
    </row>
    <row r="15" spans="2:17" x14ac:dyDescent="0.5">
      <c r="B15" s="14"/>
    </row>
    <row r="16" spans="2:17" x14ac:dyDescent="0.5">
      <c r="B16" s="14"/>
    </row>
    <row r="17" spans="2:2" x14ac:dyDescent="0.5">
      <c r="B17" s="14"/>
    </row>
    <row r="18" spans="2:2" x14ac:dyDescent="0.5">
      <c r="B18" s="14"/>
    </row>
    <row r="19" spans="2:2" x14ac:dyDescent="0.5">
      <c r="B19" s="15"/>
    </row>
    <row r="20" spans="2:2" x14ac:dyDescent="0.5">
      <c r="B20" s="8"/>
    </row>
    <row r="21" spans="2:2" x14ac:dyDescent="0.5">
      <c r="B21" s="8"/>
    </row>
  </sheetData>
  <hyperlinks>
    <hyperlink ref="E6" location="Purchase!A1" display="➡️ Purchase Entry" xr:uid="{B136706E-1198-426C-9D96-AE74852EAA0D}"/>
    <hyperlink ref="E8" location="Sales!A1" display="➡️ Sales Entry" xr:uid="{A64ABDF6-CD4F-4235-B0FA-C5E7EC5ABD3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3191-E2F7-4DEC-A365-E1A25A0B7DCF}">
  <dimension ref="B1:Q24"/>
  <sheetViews>
    <sheetView showRowColHeaders="0" topLeftCell="A4" workbookViewId="0"/>
  </sheetViews>
  <sheetFormatPr defaultColWidth="8.8203125" defaultRowHeight="25.8" x14ac:dyDescent="0.5"/>
  <cols>
    <col min="1" max="1" width="1.64453125" style="1" customWidth="1"/>
    <col min="2" max="2" width="14.46875" customWidth="1"/>
    <col min="3" max="3" width="1.76171875" style="1" customWidth="1"/>
    <col min="4" max="4" width="8.8203125" style="1" customWidth="1"/>
    <col min="5" max="6" width="12.64453125" style="1" customWidth="1"/>
    <col min="7" max="16384" width="8.8203125" style="1"/>
  </cols>
  <sheetData>
    <row r="1" spans="2:17" x14ac:dyDescent="0.5">
      <c r="B1" s="1"/>
    </row>
    <row r="2" spans="2:17" x14ac:dyDescent="0.5">
      <c r="B2" s="13"/>
      <c r="Q2" s="2"/>
    </row>
    <row r="3" spans="2:17" x14ac:dyDescent="0.5">
      <c r="B3" s="14"/>
    </row>
    <row r="4" spans="2:17" x14ac:dyDescent="0.5">
      <c r="B4" s="14"/>
    </row>
    <row r="5" spans="2:17" x14ac:dyDescent="0.5">
      <c r="B5" s="14"/>
      <c r="D5" s="4" t="s">
        <v>26</v>
      </c>
      <c r="E5" s="4" t="s">
        <v>27</v>
      </c>
      <c r="F5" s="4" t="s">
        <v>68</v>
      </c>
      <c r="G5" s="4" t="s">
        <v>69</v>
      </c>
      <c r="H5" s="4" t="s">
        <v>70</v>
      </c>
      <c r="I5" s="4" t="s">
        <v>64</v>
      </c>
      <c r="J5" s="4" t="s">
        <v>71</v>
      </c>
      <c r="K5" s="4"/>
    </row>
    <row r="6" spans="2:17" x14ac:dyDescent="0.5">
      <c r="B6" s="14"/>
      <c r="D6" s="4" t="s">
        <v>44</v>
      </c>
      <c r="E6" s="4" t="str">
        <f>IFERROR(VLOOKUP(purchase[[#This Row],[HSN Code]],Table4[#All],2,0),"")</f>
        <v>Mouse</v>
      </c>
      <c r="F6" s="4" t="str">
        <f>IFERROR(VLOOKUP(purchase[[#This Row],[HSN Code]],vendorsdata[#All],3,0),"")</f>
        <v>GG Traders</v>
      </c>
      <c r="G6" s="7">
        <v>45292</v>
      </c>
      <c r="H6" s="4">
        <v>20</v>
      </c>
      <c r="I6" s="5">
        <f>IFERROR(VLOOKUP(purchase[[#This Row],[HSN Code]],Table4[#All],3,0),"")</f>
        <v>200</v>
      </c>
      <c r="J6" s="5">
        <f>IFERROR(purchase[[#This Row],[Units]]*purchase[[#This Row],[Cost]],"")</f>
        <v>4000</v>
      </c>
      <c r="K6" s="4"/>
    </row>
    <row r="7" spans="2:17" x14ac:dyDescent="0.5">
      <c r="B7" s="14"/>
      <c r="D7" s="4" t="s">
        <v>53</v>
      </c>
      <c r="E7" s="4" t="str">
        <f>IFERROR(VLOOKUP(purchase[[#This Row],[HSN Code]],Table4[#All],2,0),"")</f>
        <v>Headphones</v>
      </c>
      <c r="F7" s="4" t="str">
        <f>IFERROR(VLOOKUP(purchase[[#This Row],[HSN Code]],vendorsdata[#All],3,0),"")</f>
        <v>Compac</v>
      </c>
      <c r="G7" s="7">
        <v>45293</v>
      </c>
      <c r="H7" s="4">
        <v>10</v>
      </c>
      <c r="I7" s="5">
        <f>IFERROR(VLOOKUP(purchase[[#This Row],[HSN Code]],Table4[#All],3,0),"")</f>
        <v>799</v>
      </c>
      <c r="J7" s="5">
        <f>IFERROR(purchase[[#This Row],[Units]]*purchase[[#This Row],[Cost]],"")</f>
        <v>7990</v>
      </c>
      <c r="K7" s="4"/>
    </row>
    <row r="8" spans="2:17" x14ac:dyDescent="0.5">
      <c r="B8" s="14"/>
      <c r="D8" s="4" t="s">
        <v>47</v>
      </c>
      <c r="E8" s="4" t="str">
        <f>IFERROR(VLOOKUP(purchase[[#This Row],[HSN Code]],Table4[#All],2,0),"")</f>
        <v>Rgb Keyboard</v>
      </c>
      <c r="F8" s="4" t="str">
        <f>IFERROR(VLOOKUP(purchase[[#This Row],[HSN Code]],vendorsdata[#All],3,0),"")</f>
        <v>GG Traders</v>
      </c>
      <c r="G8" s="7">
        <v>45294</v>
      </c>
      <c r="H8" s="4">
        <v>50</v>
      </c>
      <c r="I8" s="5">
        <f>IFERROR(VLOOKUP(purchase[[#This Row],[HSN Code]],Table4[#All],3,0),"")</f>
        <v>340</v>
      </c>
      <c r="J8" s="5">
        <f>IFERROR(purchase[[#This Row],[Units]]*purchase[[#This Row],[Cost]],"")</f>
        <v>17000</v>
      </c>
      <c r="K8" s="4"/>
    </row>
    <row r="9" spans="2:17" x14ac:dyDescent="0.5">
      <c r="B9" s="14"/>
      <c r="D9" s="4" t="s">
        <v>40</v>
      </c>
      <c r="E9" s="4" t="str">
        <f>IFERROR(VLOOKUP(purchase[[#This Row],[HSN Code]],Table4[#All],2,0),"")</f>
        <v>Desktop</v>
      </c>
      <c r="F9" s="4" t="str">
        <f>IFERROR(VLOOKUP(purchase[[#This Row],[HSN Code]],vendorsdata[#All],3,0),"")</f>
        <v>GG Traders</v>
      </c>
      <c r="G9" s="7">
        <v>45295</v>
      </c>
      <c r="H9" s="4">
        <v>100</v>
      </c>
      <c r="I9" s="5">
        <f>IFERROR(VLOOKUP(purchase[[#This Row],[HSN Code]],Table4[#All],3,0),"")</f>
        <v>21000</v>
      </c>
      <c r="J9" s="5">
        <f>IFERROR(purchase[[#This Row],[Units]]*purchase[[#This Row],[Cost]],"")</f>
        <v>2100000</v>
      </c>
      <c r="K9" s="4"/>
    </row>
    <row r="10" spans="2:17" x14ac:dyDescent="0.5">
      <c r="B10" s="14" t="s">
        <v>0</v>
      </c>
      <c r="D10" s="4" t="s">
        <v>50</v>
      </c>
      <c r="E10" s="4" t="str">
        <f>IFERROR(VLOOKUP(purchase[[#This Row],[HSN Code]],Table4[#All],2,0),"")</f>
        <v>Camera</v>
      </c>
      <c r="F10" s="4" t="str">
        <f>IFERROR(VLOOKUP(purchase[[#This Row],[HSN Code]],vendorsdata[#All],3,0),"")</f>
        <v>GG Traders</v>
      </c>
      <c r="G10" s="7">
        <v>45296</v>
      </c>
      <c r="H10" s="4">
        <v>20</v>
      </c>
      <c r="I10" s="5">
        <f>IFERROR(VLOOKUP(purchase[[#This Row],[HSN Code]],Table4[#All],3,0),"")</f>
        <v>52000</v>
      </c>
      <c r="J10" s="5">
        <f>IFERROR(purchase[[#This Row],[Units]]*purchase[[#This Row],[Cost]],"")</f>
        <v>1040000</v>
      </c>
      <c r="K10" s="4"/>
    </row>
    <row r="11" spans="2:17" x14ac:dyDescent="0.5">
      <c r="B11" s="14"/>
      <c r="D11" s="4" t="s">
        <v>30</v>
      </c>
      <c r="E11" s="4" t="str">
        <f>IFERROR(VLOOKUP(purchase[[#This Row],[HSN Code]],Table4[#All],2,0),"")</f>
        <v>Smart Watch</v>
      </c>
      <c r="F11" s="4" t="str">
        <f>IFERROR(VLOOKUP(purchase[[#This Row],[HSN Code]],vendorsdata[#All],3,0),"")</f>
        <v>Tech99</v>
      </c>
      <c r="G11" s="7">
        <v>45297</v>
      </c>
      <c r="H11" s="4">
        <v>40</v>
      </c>
      <c r="I11" s="5">
        <f>IFERROR(VLOOKUP(purchase[[#This Row],[HSN Code]],Table4[#All],3,0),"")</f>
        <v>980</v>
      </c>
      <c r="J11" s="5">
        <f>IFERROR(purchase[[#This Row],[Units]]*purchase[[#This Row],[Cost]],"")</f>
        <v>39200</v>
      </c>
      <c r="K11" s="4"/>
    </row>
    <row r="12" spans="2:17" x14ac:dyDescent="0.5">
      <c r="B12" s="14"/>
      <c r="D12" s="4" t="s">
        <v>34</v>
      </c>
      <c r="E12" s="4" t="str">
        <f>IFERROR(VLOOKUP(purchase[[#This Row],[HSN Code]],Table4[#All],2,0),"")</f>
        <v>Laptop HP xyz i5</v>
      </c>
      <c r="F12" s="4" t="str">
        <f>IFERROR(VLOOKUP(purchase[[#This Row],[HSN Code]],vendorsdata[#All],3,0),"")</f>
        <v>Tech99</v>
      </c>
      <c r="G12" s="7">
        <v>45298</v>
      </c>
      <c r="H12" s="4">
        <v>30</v>
      </c>
      <c r="I12" s="5">
        <f>IFERROR(VLOOKUP(purchase[[#This Row],[HSN Code]],Table4[#All],3,0),"")</f>
        <v>34500</v>
      </c>
      <c r="J12" s="5">
        <f>IFERROR(purchase[[#This Row],[Units]]*purchase[[#This Row],[Cost]],"")</f>
        <v>1035000</v>
      </c>
      <c r="K12" s="4"/>
    </row>
    <row r="13" spans="2:17" x14ac:dyDescent="0.5">
      <c r="B13" s="14"/>
      <c r="D13" s="4" t="s">
        <v>37</v>
      </c>
      <c r="E13" s="4" t="str">
        <f>IFERROR(VLOOKUP(purchase[[#This Row],[HSN Code]],Table4[#All],2,0),"")</f>
        <v>Wireless Printer</v>
      </c>
      <c r="F13" s="4" t="str">
        <f>IFERROR(VLOOKUP(purchase[[#This Row],[HSN Code]],vendorsdata[#All],3,0),"")</f>
        <v>Tech99</v>
      </c>
      <c r="G13" s="7">
        <v>45299</v>
      </c>
      <c r="H13" s="4">
        <v>40</v>
      </c>
      <c r="I13" s="5">
        <f>IFERROR(VLOOKUP(purchase[[#This Row],[HSN Code]],Table4[#All],3,0),"")</f>
        <v>4600</v>
      </c>
      <c r="J13" s="5">
        <f>IFERROR(purchase[[#This Row],[Units]]*purchase[[#This Row],[Cost]],"")</f>
        <v>184000</v>
      </c>
      <c r="K13" s="4"/>
    </row>
    <row r="14" spans="2:17" x14ac:dyDescent="0.5">
      <c r="B14" s="14"/>
      <c r="D14" s="4" t="s">
        <v>58</v>
      </c>
      <c r="E14" s="4" t="str">
        <f>IFERROR(VLOOKUP(purchase[[#This Row],[HSN Code]],Table4[#All],2,0),"")</f>
        <v>Speakers</v>
      </c>
      <c r="F14" s="4" t="str">
        <f>IFERROR(VLOOKUP(purchase[[#This Row],[HSN Code]],vendorsdata[#All],3,0),"")</f>
        <v>Compac</v>
      </c>
      <c r="G14" s="7">
        <v>45300</v>
      </c>
      <c r="H14" s="4">
        <v>55</v>
      </c>
      <c r="I14" s="5">
        <f>IFERROR(VLOOKUP(purchase[[#This Row],[HSN Code]],Table4[#All],3,0),"")</f>
        <v>670</v>
      </c>
      <c r="J14" s="5">
        <f>IFERROR(purchase[[#This Row],[Units]]*purchase[[#This Row],[Cost]],"")</f>
        <v>36850</v>
      </c>
      <c r="K14" s="4"/>
    </row>
    <row r="15" spans="2:17" x14ac:dyDescent="0.5">
      <c r="B15" s="14"/>
      <c r="D15" s="4" t="s">
        <v>61</v>
      </c>
      <c r="E15" s="4" t="str">
        <f>IFERROR(VLOOKUP(purchase[[#This Row],[HSN Code]],Table4[#All],2,0),"")</f>
        <v>Tablets</v>
      </c>
      <c r="F15" s="4" t="str">
        <f>IFERROR(VLOOKUP(purchase[[#This Row],[HSN Code]],vendorsdata[#All],3,0),"")</f>
        <v>Compac</v>
      </c>
      <c r="G15" s="7">
        <v>45301</v>
      </c>
      <c r="H15" s="4">
        <v>40</v>
      </c>
      <c r="I15" s="5">
        <f>IFERROR(VLOOKUP(purchase[[#This Row],[HSN Code]],Table4[#All],3,0),"")</f>
        <v>23500</v>
      </c>
      <c r="J15" s="5">
        <f>IFERROR(purchase[[#This Row],[Units]]*purchase[[#This Row],[Cost]],"")</f>
        <v>940000</v>
      </c>
      <c r="K15" s="4"/>
    </row>
    <row r="16" spans="2:17" x14ac:dyDescent="0.5">
      <c r="B16" s="14"/>
      <c r="D16" s="4" t="s">
        <v>53</v>
      </c>
      <c r="E16" s="4" t="str">
        <f>IFERROR(VLOOKUP(purchase[[#This Row],[HSN Code]],Table4[#All],2,0),"")</f>
        <v>Headphones</v>
      </c>
      <c r="F16" s="4" t="str">
        <f>IFERROR(VLOOKUP(purchase[[#This Row],[HSN Code]],vendorsdata[#All],3,0),"")</f>
        <v>Compac</v>
      </c>
      <c r="G16" s="7">
        <v>45301</v>
      </c>
      <c r="H16" s="4">
        <v>35</v>
      </c>
      <c r="I16" s="5">
        <f>IFERROR(VLOOKUP(purchase[[#This Row],[HSN Code]],Table4[#All],3,0),"")</f>
        <v>799</v>
      </c>
      <c r="J16" s="5">
        <f>IFERROR(purchase[[#This Row],[Units]]*purchase[[#This Row],[Cost]],"")</f>
        <v>27965</v>
      </c>
    </row>
    <row r="17" spans="2:10" x14ac:dyDescent="0.5">
      <c r="B17" s="14"/>
      <c r="D17" s="4" t="s">
        <v>50</v>
      </c>
      <c r="E17" s="4" t="str">
        <f>IFERROR(VLOOKUP(purchase[[#This Row],[HSN Code]],Table4[#All],2,0),"")</f>
        <v>Camera</v>
      </c>
      <c r="F17" s="4" t="str">
        <f>IFERROR(VLOOKUP(purchase[[#This Row],[HSN Code]],vendorsdata[#All],3,0),"")</f>
        <v>GG Traders</v>
      </c>
      <c r="G17" s="7">
        <v>45301</v>
      </c>
      <c r="H17" s="4">
        <v>2</v>
      </c>
      <c r="I17" s="5">
        <f>IFERROR(VLOOKUP(purchase[[#This Row],[HSN Code]],Table4[#All],3,0),"")</f>
        <v>52000</v>
      </c>
      <c r="J17" s="5">
        <f>IFERROR(purchase[[#This Row],[Units]]*purchase[[#This Row],[Cost]],"")</f>
        <v>104000</v>
      </c>
    </row>
    <row r="18" spans="2:10" x14ac:dyDescent="0.5">
      <c r="B18" s="14"/>
      <c r="D18" s="4" t="s">
        <v>53</v>
      </c>
      <c r="E18" s="4" t="str">
        <f>IFERROR(VLOOKUP(purchase[[#This Row],[HSN Code]],Table4[#All],2,0),"")</f>
        <v>Headphones</v>
      </c>
      <c r="F18" s="4" t="str">
        <f>IFERROR(VLOOKUP(purchase[[#This Row],[HSN Code]],vendorsdata[#All],3,0),"")</f>
        <v>Compac</v>
      </c>
      <c r="G18" s="7">
        <v>45301</v>
      </c>
      <c r="H18" s="4">
        <v>10</v>
      </c>
      <c r="I18" s="5">
        <f>IFERROR(VLOOKUP(purchase[[#This Row],[HSN Code]],Table4[#All],3,0),"")</f>
        <v>799</v>
      </c>
      <c r="J18" s="5">
        <f>IFERROR(purchase[[#This Row],[Units]]*purchase[[#This Row],[Cost]],"")</f>
        <v>7990</v>
      </c>
    </row>
    <row r="19" spans="2:10" x14ac:dyDescent="0.5">
      <c r="B19" s="15"/>
      <c r="D19" s="4"/>
      <c r="E19" s="4" t="str">
        <f>IFERROR(VLOOKUP(purchase[[#This Row],[HSN Code]],Table4[#All],2,0),"")</f>
        <v/>
      </c>
      <c r="F19" s="4" t="str">
        <f>IFERROR(VLOOKUP(purchase[[#This Row],[HSN Code]],vendorsdata[#All],3,0),"")</f>
        <v/>
      </c>
      <c r="G19" s="4"/>
      <c r="H19" s="4"/>
      <c r="I19" s="5" t="str">
        <f>IFERROR(VLOOKUP(purchase[[#This Row],[HSN Code]],Table4[#All],3,0),"")</f>
        <v/>
      </c>
      <c r="J19" s="5" t="str">
        <f>IFERROR(purchase[[#This Row],[Units]]*purchase[[#This Row],[Cost]],"")</f>
        <v/>
      </c>
    </row>
    <row r="20" spans="2:10" x14ac:dyDescent="0.5">
      <c r="B20" s="8"/>
      <c r="D20" s="4"/>
      <c r="E20" s="4" t="str">
        <f>IFERROR(VLOOKUP(purchase[[#This Row],[HSN Code]],Table4[#All],2,0),"")</f>
        <v/>
      </c>
      <c r="F20" s="4" t="str">
        <f>IFERROR(VLOOKUP(purchase[[#This Row],[HSN Code]],vendorsdata[#All],3,0),"")</f>
        <v/>
      </c>
      <c r="G20" s="4"/>
      <c r="H20" s="4"/>
      <c r="I20" s="5" t="str">
        <f>IFERROR(VLOOKUP(purchase[[#This Row],[HSN Code]],Table4[#All],3,0),"")</f>
        <v/>
      </c>
      <c r="J20" s="5" t="str">
        <f>IFERROR(purchase[[#This Row],[Units]]*purchase[[#This Row],[Cost]],"")</f>
        <v/>
      </c>
    </row>
    <row r="21" spans="2:10" x14ac:dyDescent="0.5">
      <c r="B21" s="8"/>
      <c r="D21" s="4"/>
      <c r="E21" s="4" t="str">
        <f>IFERROR(VLOOKUP(purchase[[#This Row],[HSN Code]],Table4[#All],2,0),"")</f>
        <v/>
      </c>
      <c r="F21" s="4" t="str">
        <f>IFERROR(VLOOKUP(purchase[[#This Row],[HSN Code]],vendorsdata[#All],3,0),"")</f>
        <v/>
      </c>
      <c r="G21" s="4"/>
      <c r="H21" s="4"/>
      <c r="I21" s="5" t="str">
        <f>IFERROR(VLOOKUP(purchase[[#This Row],[HSN Code]],Table4[#All],3,0),"")</f>
        <v/>
      </c>
      <c r="J21" s="5" t="str">
        <f>IFERROR(purchase[[#This Row],[Units]]*purchase[[#This Row],[Cost]],"")</f>
        <v/>
      </c>
    </row>
    <row r="22" spans="2:10" x14ac:dyDescent="0.5">
      <c r="B22" s="8"/>
      <c r="D22" s="4"/>
      <c r="E22" s="4" t="str">
        <f>IFERROR(VLOOKUP(purchase[[#This Row],[HSN Code]],Table4[#All],2,0),"")</f>
        <v/>
      </c>
      <c r="F22" s="4" t="str">
        <f>IFERROR(VLOOKUP(purchase[[#This Row],[HSN Code]],vendorsdata[#All],3,0),"")</f>
        <v/>
      </c>
      <c r="G22" s="4"/>
      <c r="H22" s="4"/>
      <c r="I22" s="5" t="str">
        <f>IFERROR(VLOOKUP(purchase[[#This Row],[HSN Code]],Table4[#All],3,0),"")</f>
        <v/>
      </c>
      <c r="J22" s="5" t="str">
        <f>IFERROR(purchase[[#This Row],[Units]]*purchase[[#This Row],[Cost]],"")</f>
        <v/>
      </c>
    </row>
    <row r="23" spans="2:10" x14ac:dyDescent="0.5">
      <c r="B23" s="8"/>
    </row>
    <row r="24" spans="2:10" x14ac:dyDescent="0.5">
      <c r="B24" s="8"/>
    </row>
  </sheetData>
  <dataValidations count="1">
    <dataValidation type="list" allowBlank="1" showInputMessage="1" showErrorMessage="1" sqref="D6:D22" xr:uid="{FDB9DD83-1E4B-45E6-8AD6-B6AF91D3DBCF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837C-BBB6-41AA-865C-2132BFA22C90}">
  <dimension ref="B1:Q22"/>
  <sheetViews>
    <sheetView showRowColHeaders="0" topLeftCell="A6" workbookViewId="0">
      <selection activeCell="D19" sqref="D19"/>
    </sheetView>
  </sheetViews>
  <sheetFormatPr defaultColWidth="8.8203125" defaultRowHeight="25.8" x14ac:dyDescent="0.5"/>
  <cols>
    <col min="1" max="1" width="1.64453125" style="1" customWidth="1"/>
    <col min="2" max="2" width="14.46875" customWidth="1"/>
    <col min="3" max="3" width="1.76171875" style="1" customWidth="1"/>
    <col min="4" max="4" width="5.52734375" style="1" customWidth="1"/>
    <col min="5" max="5" width="9.3515625" style="1" customWidth="1"/>
    <col min="6" max="6" width="6.9375" style="1" customWidth="1"/>
    <col min="7" max="7" width="11.1171875" style="1" customWidth="1"/>
    <col min="8" max="8" width="8.8203125" style="1" customWidth="1"/>
    <col min="9" max="9" width="8.46875" style="1" customWidth="1"/>
    <col min="10" max="10" width="4.8203125" style="1" customWidth="1"/>
    <col min="11" max="11" width="6.64453125" style="1" customWidth="1"/>
    <col min="12" max="16384" width="8.8203125" style="1"/>
  </cols>
  <sheetData>
    <row r="1" spans="2:17" x14ac:dyDescent="0.5">
      <c r="B1" s="1"/>
    </row>
    <row r="2" spans="2:17" x14ac:dyDescent="0.5">
      <c r="B2" s="13"/>
      <c r="Q2" s="2"/>
    </row>
    <row r="3" spans="2:17" x14ac:dyDescent="0.5">
      <c r="B3" s="14"/>
    </row>
    <row r="4" spans="2:17" x14ac:dyDescent="0.5">
      <c r="B4" s="14"/>
    </row>
    <row r="5" spans="2:17" x14ac:dyDescent="0.5">
      <c r="B5" s="14"/>
      <c r="D5" s="3" t="s">
        <v>1</v>
      </c>
      <c r="E5" s="4" t="s">
        <v>72</v>
      </c>
      <c r="F5" s="4" t="s">
        <v>26</v>
      </c>
      <c r="G5" s="4" t="s">
        <v>27</v>
      </c>
      <c r="H5" s="4" t="s">
        <v>69</v>
      </c>
      <c r="I5" s="4" t="s">
        <v>73</v>
      </c>
      <c r="J5" s="4" t="s">
        <v>70</v>
      </c>
      <c r="K5" s="4" t="s">
        <v>74</v>
      </c>
      <c r="L5" s="4" t="s">
        <v>71</v>
      </c>
    </row>
    <row r="6" spans="2:17" x14ac:dyDescent="0.5">
      <c r="B6" s="14"/>
      <c r="D6" s="3">
        <v>103</v>
      </c>
      <c r="E6" s="4" t="str">
        <f>IFERROR(VLOOKUP(sales[[#This Row],[Cust_ID]],customersdata[#All],2,0),"")</f>
        <v>99store</v>
      </c>
      <c r="F6" s="4" t="s">
        <v>53</v>
      </c>
      <c r="G6" s="4" t="str">
        <f>IFERROR(VLOOKUP(sales[[#This Row],[HSN Code]],Table4[#All],2,0),"")</f>
        <v>Headphones</v>
      </c>
      <c r="H6" s="7">
        <v>45292</v>
      </c>
      <c r="I6" s="4">
        <f>IFERROR(VLOOKUP(sales[[#This Row],[HSN Code]],Table7[[#All],[HSN Code]:[Stock]],6,0),"")</f>
        <v>13</v>
      </c>
      <c r="J6" s="4">
        <v>10</v>
      </c>
      <c r="K6" s="5">
        <f>IFERROR(VLOOKUP(sales[[#This Row],[HSN Code]],Table4[#All],4,0),"")</f>
        <v>958.8</v>
      </c>
      <c r="L6" s="5">
        <f>IFERROR(sales[[#This Row],[Units]]*sales[[#This Row],[Price]],"")</f>
        <v>9588</v>
      </c>
    </row>
    <row r="7" spans="2:17" x14ac:dyDescent="0.5">
      <c r="B7" s="14"/>
      <c r="D7" s="3">
        <v>104</v>
      </c>
      <c r="E7" s="4" t="str">
        <f>IFERROR(VLOOKUP(sales[[#This Row],[Cust_ID]],customersdata[#All],2,0),"")</f>
        <v>Rajesh Kumar</v>
      </c>
      <c r="F7" s="4" t="s">
        <v>47</v>
      </c>
      <c r="G7" s="4" t="str">
        <f>IFERROR(VLOOKUP(sales[[#This Row],[HSN Code]],Table4[#All],2,0),"")</f>
        <v>Rgb Keyboard</v>
      </c>
      <c r="H7" s="7">
        <v>45293</v>
      </c>
      <c r="I7" s="4">
        <f>IFERROR(VLOOKUP(sales[[#This Row],[HSN Code]],Table7[[#All],[HSN Code]:[Stock]],6,0),"")</f>
        <v>13</v>
      </c>
      <c r="J7" s="4">
        <v>37</v>
      </c>
      <c r="K7" s="5">
        <f>IFERROR(VLOOKUP(sales[[#This Row],[HSN Code]],Table4[#All],4,0),"")</f>
        <v>408</v>
      </c>
      <c r="L7" s="5">
        <f>IFERROR(sales[[#This Row],[Units]]*sales[[#This Row],[Price]],"")</f>
        <v>15096</v>
      </c>
    </row>
    <row r="8" spans="2:17" x14ac:dyDescent="0.5">
      <c r="B8" s="14"/>
      <c r="D8" s="3">
        <v>101</v>
      </c>
      <c r="E8" s="4" t="str">
        <f>IFERROR(VLOOKUP(sales[[#This Row],[Cust_ID]],customersdata[#All],2,0),"")</f>
        <v>Atul Ltd.</v>
      </c>
      <c r="F8" s="4" t="s">
        <v>40</v>
      </c>
      <c r="G8" s="4" t="str">
        <f>IFERROR(VLOOKUP(sales[[#This Row],[HSN Code]],Table4[#All],2,0),"")</f>
        <v>Desktop</v>
      </c>
      <c r="H8" s="7">
        <v>45294</v>
      </c>
      <c r="I8" s="4">
        <f>IFERROR(VLOOKUP(sales[[#This Row],[HSN Code]],Table7[[#All],[HSN Code]:[Stock]],6,0),"")</f>
        <v>35</v>
      </c>
      <c r="J8" s="4">
        <v>10</v>
      </c>
      <c r="K8" s="5">
        <f>IFERROR(VLOOKUP(sales[[#This Row],[HSN Code]],Table4[#All],4,0),"")</f>
        <v>25200</v>
      </c>
      <c r="L8" s="5">
        <f>IFERROR(sales[[#This Row],[Units]]*sales[[#This Row],[Price]],"")</f>
        <v>252000</v>
      </c>
    </row>
    <row r="9" spans="2:17" x14ac:dyDescent="0.5">
      <c r="B9" s="14"/>
      <c r="D9" s="3">
        <v>100</v>
      </c>
      <c r="E9" s="4" t="str">
        <f>IFERROR(VLOOKUP(sales[[#This Row],[Cust_ID]],customersdata[#All],2,0),"")</f>
        <v>Ram sales</v>
      </c>
      <c r="F9" s="4" t="s">
        <v>53</v>
      </c>
      <c r="G9" s="4" t="str">
        <f>IFERROR(VLOOKUP(sales[[#This Row],[HSN Code]],Table4[#All],2,0),"")</f>
        <v>Headphones</v>
      </c>
      <c r="H9" s="7">
        <v>45295</v>
      </c>
      <c r="I9" s="4">
        <f>IFERROR(VLOOKUP(sales[[#This Row],[HSN Code]],Table7[[#All],[HSN Code]:[Stock]],6,0),"")</f>
        <v>13</v>
      </c>
      <c r="J9" s="4">
        <v>32</v>
      </c>
      <c r="K9" s="5">
        <f>IFERROR(VLOOKUP(sales[[#This Row],[HSN Code]],Table4[#All],4,0),"")</f>
        <v>958.8</v>
      </c>
      <c r="L9" s="5">
        <f>IFERROR(sales[[#This Row],[Units]]*sales[[#This Row],[Price]],"")</f>
        <v>30681.599999999999</v>
      </c>
    </row>
    <row r="10" spans="2:17" x14ac:dyDescent="0.5">
      <c r="B10" s="14" t="s">
        <v>0</v>
      </c>
      <c r="D10" s="3">
        <v>102</v>
      </c>
      <c r="E10" s="4" t="str">
        <f>IFERROR(VLOOKUP(sales[[#This Row],[Cust_ID]],customersdata[#All],2,0),"")</f>
        <v>MK Tech.</v>
      </c>
      <c r="F10" s="4" t="s">
        <v>34</v>
      </c>
      <c r="G10" s="4" t="str">
        <f>IFERROR(VLOOKUP(sales[[#This Row],[HSN Code]],Table4[#All],2,0),"")</f>
        <v>Laptop HP xyz i5</v>
      </c>
      <c r="H10" s="7">
        <v>45296</v>
      </c>
      <c r="I10" s="4">
        <f>IFERROR(VLOOKUP(sales[[#This Row],[HSN Code]],Table7[[#All],[HSN Code]:[Stock]],6,0),"")</f>
        <v>3</v>
      </c>
      <c r="J10" s="4">
        <v>27</v>
      </c>
      <c r="K10" s="5">
        <f>IFERROR(VLOOKUP(sales[[#This Row],[HSN Code]],Table4[#All],4,0),"")</f>
        <v>41400</v>
      </c>
      <c r="L10" s="5">
        <f>IFERROR(sales[[#This Row],[Units]]*sales[[#This Row],[Price]],"")</f>
        <v>1117800</v>
      </c>
    </row>
    <row r="11" spans="2:17" x14ac:dyDescent="0.5">
      <c r="B11" s="14"/>
      <c r="D11" s="3">
        <v>103</v>
      </c>
      <c r="E11" s="4" t="str">
        <f>IFERROR(VLOOKUP(sales[[#This Row],[Cust_ID]],customersdata[#All],2,0),"")</f>
        <v>99store</v>
      </c>
      <c r="F11" s="4" t="s">
        <v>40</v>
      </c>
      <c r="G11" s="4" t="str">
        <f>IFERROR(VLOOKUP(sales[[#This Row],[HSN Code]],Table4[#All],2,0),"")</f>
        <v>Desktop</v>
      </c>
      <c r="H11" s="7">
        <v>45297</v>
      </c>
      <c r="I11" s="4">
        <f>IFERROR(VLOOKUP(sales[[#This Row],[HSN Code]],Table7[[#All],[HSN Code]:[Stock]],6,0),"")</f>
        <v>35</v>
      </c>
      <c r="J11" s="4">
        <v>55</v>
      </c>
      <c r="K11" s="5">
        <f>IFERROR(VLOOKUP(sales[[#This Row],[HSN Code]],Table4[#All],4,0),"")</f>
        <v>25200</v>
      </c>
      <c r="L11" s="5">
        <f>IFERROR(sales[[#This Row],[Units]]*sales[[#This Row],[Price]],"")</f>
        <v>1386000</v>
      </c>
    </row>
    <row r="12" spans="2:17" x14ac:dyDescent="0.5">
      <c r="B12" s="14"/>
      <c r="D12" s="3">
        <v>105</v>
      </c>
      <c r="E12" s="4" t="str">
        <f>IFERROR(VLOOKUP(sales[[#This Row],[Cust_ID]],customersdata[#All],2,0),"")</f>
        <v xml:space="preserve">Amit </v>
      </c>
      <c r="F12" s="4" t="s">
        <v>61</v>
      </c>
      <c r="G12" s="4" t="str">
        <f>IFERROR(VLOOKUP(sales[[#This Row],[HSN Code]],Table4[#All],2,0),"")</f>
        <v>Tablets</v>
      </c>
      <c r="H12" s="7">
        <v>45298</v>
      </c>
      <c r="I12" s="4">
        <f>IFERROR(VLOOKUP(sales[[#This Row],[HSN Code]],Table7[[#All],[HSN Code]:[Stock]],6,0),"")</f>
        <v>3</v>
      </c>
      <c r="J12" s="4">
        <v>33</v>
      </c>
      <c r="K12" s="5">
        <f>IFERROR(VLOOKUP(sales[[#This Row],[HSN Code]],Table4[#All],4,0),"")</f>
        <v>28200</v>
      </c>
      <c r="L12" s="5">
        <f>IFERROR(sales[[#This Row],[Units]]*sales[[#This Row],[Price]],"")</f>
        <v>930600</v>
      </c>
    </row>
    <row r="13" spans="2:17" x14ac:dyDescent="0.5">
      <c r="B13" s="14"/>
      <c r="D13" s="3">
        <v>106</v>
      </c>
      <c r="E13" s="4" t="str">
        <f>IFERROR(VLOOKUP(sales[[#This Row],[Cust_ID]],customersdata[#All],2,0),"")</f>
        <v>Jain Tel.</v>
      </c>
      <c r="F13" s="4" t="s">
        <v>58</v>
      </c>
      <c r="G13" s="4" t="str">
        <f>IFERROR(VLOOKUP(sales[[#This Row],[HSN Code]],Table4[#All],2,0),"")</f>
        <v>Speakers</v>
      </c>
      <c r="H13" s="7">
        <v>45299</v>
      </c>
      <c r="I13" s="4">
        <f>IFERROR(VLOOKUP(sales[[#This Row],[HSN Code]],Table7[[#All],[HSN Code]:[Stock]],6,0),"")</f>
        <v>3</v>
      </c>
      <c r="J13" s="4">
        <v>52</v>
      </c>
      <c r="K13" s="5">
        <f>IFERROR(VLOOKUP(sales[[#This Row],[HSN Code]],Table4[#All],4,0),"")</f>
        <v>804</v>
      </c>
      <c r="L13" s="5">
        <f>IFERROR(sales[[#This Row],[Units]]*sales[[#This Row],[Price]],"")</f>
        <v>41808</v>
      </c>
    </row>
    <row r="14" spans="2:17" x14ac:dyDescent="0.5">
      <c r="B14" s="14"/>
      <c r="D14" s="3">
        <v>104</v>
      </c>
      <c r="E14" s="4" t="str">
        <f>IFERROR(VLOOKUP(sales[[#This Row],[Cust_ID]],customersdata[#All],2,0),"")</f>
        <v>Rajesh Kumar</v>
      </c>
      <c r="F14" s="4" t="s">
        <v>61</v>
      </c>
      <c r="G14" s="4" t="str">
        <f>IFERROR(VLOOKUP(sales[[#This Row],[HSN Code]],Table4[#All],2,0),"")</f>
        <v>Tablets</v>
      </c>
      <c r="H14" s="7">
        <v>45299</v>
      </c>
      <c r="I14" s="4">
        <f>IFERROR(VLOOKUP(sales[[#This Row],[HSN Code]],Table7[[#All],[HSN Code]:[Stock]],6,0),"")</f>
        <v>3</v>
      </c>
      <c r="J14" s="4">
        <v>4</v>
      </c>
      <c r="K14" s="5">
        <f>IFERROR(VLOOKUP(sales[[#This Row],[HSN Code]],Table4[#All],4,0),"")</f>
        <v>28200</v>
      </c>
      <c r="L14" s="5">
        <f>IFERROR(sales[[#This Row],[Units]]*sales[[#This Row],[Price]],"")</f>
        <v>112800</v>
      </c>
    </row>
    <row r="15" spans="2:17" x14ac:dyDescent="0.5">
      <c r="B15" s="14"/>
      <c r="D15" s="3">
        <v>103</v>
      </c>
      <c r="E15" s="4" t="str">
        <f>IFERROR(VLOOKUP(sales[[#This Row],[Cust_ID]],customersdata[#All],2,0),"")</f>
        <v>99store</v>
      </c>
      <c r="F15" s="4" t="s">
        <v>30</v>
      </c>
      <c r="G15" s="4" t="str">
        <f>IFERROR(VLOOKUP(sales[[#This Row],[HSN Code]],Table4[#All],2,0),"")</f>
        <v>Smart Watch</v>
      </c>
      <c r="H15" s="7">
        <v>45299</v>
      </c>
      <c r="I15" s="4">
        <f>IFERROR(VLOOKUP(sales[[#This Row],[HSN Code]],Table7[[#All],[HSN Code]:[Stock]],6,0),"")</f>
        <v>3</v>
      </c>
      <c r="J15" s="4">
        <v>37</v>
      </c>
      <c r="K15" s="5">
        <f>IFERROR(VLOOKUP(sales[[#This Row],[HSN Code]],Table4[#All],4,0),"")</f>
        <v>1176</v>
      </c>
      <c r="L15" s="5">
        <f>IFERROR(sales[[#This Row],[Units]]*sales[[#This Row],[Price]],"")</f>
        <v>43512</v>
      </c>
    </row>
    <row r="16" spans="2:17" x14ac:dyDescent="0.5">
      <c r="B16" s="14"/>
      <c r="D16" s="3">
        <v>104</v>
      </c>
      <c r="E16" s="4" t="str">
        <f>IFERROR(VLOOKUP(sales[[#This Row],[Cust_ID]],customersdata[#All],2,0),"")</f>
        <v>Rajesh Kumar</v>
      </c>
      <c r="F16" s="4" t="s">
        <v>50</v>
      </c>
      <c r="G16" s="4" t="str">
        <f>IFERROR(VLOOKUP(sales[[#This Row],[HSN Code]],Table4[#All],2,0),"")</f>
        <v>Camera</v>
      </c>
      <c r="H16" s="7">
        <v>45299</v>
      </c>
      <c r="I16" s="4">
        <f>IFERROR(VLOOKUP(sales[[#This Row],[HSN Code]],Table7[[#All],[HSN Code]:[Stock]],6,0),"")</f>
        <v>14</v>
      </c>
      <c r="J16" s="4">
        <v>4</v>
      </c>
      <c r="K16" s="5">
        <f>IFERROR(VLOOKUP(sales[[#This Row],[HSN Code]],Table4[#All],4,0),"")</f>
        <v>62400</v>
      </c>
      <c r="L16" s="5">
        <f>IFERROR(sales[[#This Row],[Units]]*sales[[#This Row],[Price]],"")</f>
        <v>249600</v>
      </c>
    </row>
    <row r="17" spans="2:12" x14ac:dyDescent="0.5">
      <c r="B17" s="14"/>
      <c r="D17" s="3">
        <v>105</v>
      </c>
      <c r="E17" s="4" t="str">
        <f>IFERROR(VLOOKUP(sales[[#This Row],[Cust_ID]],customersdata[#All],2,0),"")</f>
        <v xml:space="preserve">Amit </v>
      </c>
      <c r="F17" s="4" t="s">
        <v>50</v>
      </c>
      <c r="G17" s="4" t="str">
        <f>IFERROR(VLOOKUP(sales[[#This Row],[HSN Code]],Table4[#All],2,0),"")</f>
        <v>Camera</v>
      </c>
      <c r="H17" s="7">
        <v>45299</v>
      </c>
      <c r="I17" s="4">
        <f>IFERROR(VLOOKUP(sales[[#This Row],[HSN Code]],Table7[[#All],[HSN Code]:[Stock]],6,0),"")</f>
        <v>14</v>
      </c>
      <c r="J17" s="4">
        <v>4</v>
      </c>
      <c r="K17" s="5">
        <f>IFERROR(VLOOKUP(sales[[#This Row],[HSN Code]],Table4[#All],4,0),"")</f>
        <v>62400</v>
      </c>
      <c r="L17" s="5">
        <f>IFERROR(sales[[#This Row],[Units]]*sales[[#This Row],[Price]],"")</f>
        <v>249600</v>
      </c>
    </row>
    <row r="18" spans="2:12" x14ac:dyDescent="0.5">
      <c r="B18" s="14"/>
      <c r="D18" s="3">
        <v>104</v>
      </c>
      <c r="E18" s="4" t="str">
        <f>IFERROR(VLOOKUP(sales[[#This Row],[Cust_ID]],customersdata[#All],2,0),"")</f>
        <v>Rajesh Kumar</v>
      </c>
      <c r="F18" s="4" t="s">
        <v>37</v>
      </c>
      <c r="G18" s="4" t="str">
        <f>IFERROR(VLOOKUP(sales[[#This Row],[HSN Code]],Table4[#All],2,0),"")</f>
        <v>Wireless Printer</v>
      </c>
      <c r="H18" s="7">
        <v>45299</v>
      </c>
      <c r="I18" s="4">
        <f>IFERROR(VLOOKUP(sales[[#This Row],[HSN Code]],Table7[[#All],[HSN Code]:[Stock]],6,0),"")</f>
        <v>35</v>
      </c>
      <c r="J18" s="4">
        <v>5</v>
      </c>
      <c r="K18" s="5">
        <f>IFERROR(VLOOKUP(sales[[#This Row],[HSN Code]],Table4[#All],4,0),"")</f>
        <v>5520</v>
      </c>
      <c r="L18" s="5">
        <f>IFERROR(sales[[#This Row],[Units]]*sales[[#This Row],[Price]],"")</f>
        <v>27600</v>
      </c>
    </row>
    <row r="19" spans="2:12" x14ac:dyDescent="0.5">
      <c r="B19" s="15"/>
      <c r="D19" s="3"/>
      <c r="E19" s="4" t="str">
        <f>IFERROR(VLOOKUP(sales[[#This Row],[Cust_ID]],customersdata[#All],2,0),"")</f>
        <v/>
      </c>
      <c r="F19" s="4"/>
      <c r="G19" s="4" t="str">
        <f>IFERROR(VLOOKUP(sales[[#This Row],[HSN Code]],Table4[#All],2,0),"")</f>
        <v/>
      </c>
      <c r="H19" s="4"/>
      <c r="I19" s="4" t="str">
        <f>IFERROR(VLOOKUP(sales[[#This Row],[HSN Code]],Table7[[#All],[HSN Code]:[Stock]],6,0),"")</f>
        <v/>
      </c>
      <c r="J19" s="4"/>
      <c r="K19" s="5" t="str">
        <f>IFERROR(VLOOKUP(sales[[#This Row],[HSN Code]],Table4[#All],4,0),"")</f>
        <v/>
      </c>
      <c r="L19" s="5" t="str">
        <f>IFERROR(sales[[#This Row],[Units]]*sales[[#This Row],[Price]],"")</f>
        <v/>
      </c>
    </row>
    <row r="20" spans="2:12" x14ac:dyDescent="0.5">
      <c r="B20" s="8"/>
      <c r="D20" s="3"/>
      <c r="E20" s="4" t="str">
        <f>IFERROR(VLOOKUP(sales[[#This Row],[Cust_ID]],customersdata[#All],2,0),"")</f>
        <v/>
      </c>
      <c r="F20" s="4"/>
      <c r="G20" s="4" t="str">
        <f>IFERROR(VLOOKUP(sales[[#This Row],[HSN Code]],Table4[#All],2,0),"")</f>
        <v/>
      </c>
      <c r="H20" s="4"/>
      <c r="I20" s="4" t="str">
        <f>IFERROR(VLOOKUP(sales[[#This Row],[HSN Code]],Table7[[#All],[HSN Code]:[Stock]],6,0),"")</f>
        <v/>
      </c>
      <c r="J20" s="4"/>
      <c r="K20" s="5" t="str">
        <f>IFERROR(VLOOKUP(sales[[#This Row],[HSN Code]],Table4[#All],4,0),"")</f>
        <v/>
      </c>
      <c r="L20" s="5" t="str">
        <f>IFERROR(sales[[#This Row],[Units]]*sales[[#This Row],[Price]],"")</f>
        <v/>
      </c>
    </row>
    <row r="21" spans="2:12" x14ac:dyDescent="0.5">
      <c r="B21" s="8"/>
      <c r="D21" s="3"/>
      <c r="E21" s="4" t="str">
        <f>IFERROR(VLOOKUP(sales[[#This Row],[Cust_ID]],customersdata[#All],2,0),"")</f>
        <v/>
      </c>
      <c r="F21" s="4"/>
      <c r="G21" s="4" t="str">
        <f>IFERROR(VLOOKUP(sales[[#This Row],[HSN Code]],Table4[#All],2,0),"")</f>
        <v/>
      </c>
      <c r="H21" s="4"/>
      <c r="I21" s="4" t="str">
        <f>IFERROR(VLOOKUP(sales[[#This Row],[HSN Code]],Table7[[#All],[HSN Code]:[Stock]],6,0),"")</f>
        <v/>
      </c>
      <c r="J21" s="4"/>
      <c r="K21" s="5" t="str">
        <f>IFERROR(VLOOKUP(sales[[#This Row],[HSN Code]],Table4[#All],4,0),"")</f>
        <v/>
      </c>
      <c r="L21" s="5" t="str">
        <f>IFERROR(sales[[#This Row],[Units]]*sales[[#This Row],[Price]],"")</f>
        <v/>
      </c>
    </row>
    <row r="22" spans="2:12" x14ac:dyDescent="0.5">
      <c r="B22" s="8"/>
    </row>
  </sheetData>
  <dataValidations count="2">
    <dataValidation type="list" allowBlank="1" showInputMessage="1" showErrorMessage="1" sqref="D6:D21" xr:uid="{AC7E85E5-A2DA-4580-A4FE-A7C094180650}">
      <formula1>Cust_ID</formula1>
    </dataValidation>
    <dataValidation type="list" allowBlank="1" showInputMessage="1" showErrorMessage="1" sqref="F6:F21" xr:uid="{C8CFE2E3-6D18-4701-8005-C82A1A8098A1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D9B4C-7608-4CD6-8F85-3746887EE943}">
  <dimension ref="B1:R23"/>
  <sheetViews>
    <sheetView showRowColHeaders="0" workbookViewId="0">
      <selection activeCell="B1" sqref="B1"/>
    </sheetView>
  </sheetViews>
  <sheetFormatPr defaultColWidth="8.8203125" defaultRowHeight="25.8" x14ac:dyDescent="0.5"/>
  <cols>
    <col min="1" max="1" width="1.64453125" style="1" customWidth="1"/>
    <col min="2" max="2" width="14.46875" customWidth="1"/>
    <col min="3" max="3" width="1.76171875" style="1" customWidth="1"/>
    <col min="4" max="4" width="8.8203125" style="1"/>
    <col min="5" max="5" width="15.05859375" style="1" customWidth="1"/>
    <col min="6" max="6" width="8.234375" style="1" customWidth="1"/>
    <col min="7" max="9" width="8.8203125" style="1"/>
    <col min="10" max="10" width="8.8203125" style="1" customWidth="1"/>
    <col min="11" max="11" width="2.76171875" style="1" hidden="1" customWidth="1"/>
    <col min="12" max="12" width="2.87890625" style="1" customWidth="1"/>
    <col min="13" max="16384" width="8.8203125" style="1"/>
  </cols>
  <sheetData>
    <row r="1" spans="2:18" x14ac:dyDescent="0.5">
      <c r="B1" s="1"/>
    </row>
    <row r="2" spans="2:18" x14ac:dyDescent="0.5">
      <c r="B2" s="13"/>
      <c r="R2" s="2"/>
    </row>
    <row r="3" spans="2:18" x14ac:dyDescent="0.5">
      <c r="B3" s="14"/>
    </row>
    <row r="4" spans="2:18" x14ac:dyDescent="0.5">
      <c r="B4" s="14"/>
    </row>
    <row r="5" spans="2:18" x14ac:dyDescent="0.5">
      <c r="B5" s="14"/>
      <c r="D5" s="4" t="s">
        <v>26</v>
      </c>
      <c r="E5" s="4" t="s">
        <v>27</v>
      </c>
      <c r="F5" s="4" t="s">
        <v>64</v>
      </c>
      <c r="G5" s="4" t="s">
        <v>75</v>
      </c>
      <c r="H5" s="4" t="s">
        <v>76</v>
      </c>
      <c r="I5" s="4" t="s">
        <v>77</v>
      </c>
      <c r="J5" s="4" t="s">
        <v>87</v>
      </c>
      <c r="K5" s="4" t="s">
        <v>78</v>
      </c>
      <c r="L5" s="4"/>
    </row>
    <row r="6" spans="2:18" x14ac:dyDescent="0.5">
      <c r="B6" s="14"/>
      <c r="D6" s="4" t="str">
        <f>IFERROR(Table4[[#This Row],[HSN Code]],"")</f>
        <v>N1001</v>
      </c>
      <c r="E6" s="4" t="str">
        <f>IFERROR(Table4[[#This Row],[Product Name]],"")</f>
        <v>Smart Watch</v>
      </c>
      <c r="F6" s="4">
        <f>IFERROR(Table4[[#This Row],[Cost]],"")</f>
        <v>980</v>
      </c>
      <c r="G6" s="4">
        <f>SUMIF(purchase[Product Name],Table7[[#This Row],[Product Name]],purchase[Units])</f>
        <v>40</v>
      </c>
      <c r="H6" s="4">
        <f>SUMIF(sales[Product Name],Table7[[#This Row],[Product Name]],sales[Units])</f>
        <v>37</v>
      </c>
      <c r="I6" s="4">
        <f>Table7[[#This Row],[P Units]]-Table7[[#This Row],[S Units]]</f>
        <v>3</v>
      </c>
      <c r="J6" s="19">
        <f>IFERROR(Table7[[#This Row],[Cost]]*Table7[[#This Row],[Stock]],"")</f>
        <v>2940</v>
      </c>
      <c r="K6" s="4" t="str">
        <f>IFERROR(IF(Table7[[#This Row],[Stock]]&lt;5,"📞 "&amp;Table7[[#This Row],[Product Name]]&amp;" Needs To Re-Order ! PH. "&amp;VLOOKUP(Table7[[#This Row],[HSN Code]],vendorsdata[#All],4,0),""),"")</f>
        <v>📞 Smart Watch Needs To Re-Order ! PH. 9812xxxxxx</v>
      </c>
      <c r="L6" s="4"/>
    </row>
    <row r="7" spans="2:18" x14ac:dyDescent="0.5">
      <c r="B7" s="14"/>
      <c r="D7" s="4" t="str">
        <f>IFERROR(Table4[[#This Row],[HSN Code]],"")</f>
        <v>N1002</v>
      </c>
      <c r="E7" s="4" t="str">
        <f>IFERROR(Table4[[#This Row],[Product Name]],"")</f>
        <v>Laptop HP xyz i5</v>
      </c>
      <c r="F7" s="4">
        <f>IFERROR(Table4[[#This Row],[Cost]],"")</f>
        <v>34500</v>
      </c>
      <c r="G7" s="4">
        <f>SUMIF(purchase[Product Name],Table7[[#This Row],[Product Name]],purchase[Units])</f>
        <v>30</v>
      </c>
      <c r="H7" s="4">
        <f>SUMIF(sales[Product Name],Table7[[#This Row],[Product Name]],sales[Units])</f>
        <v>27</v>
      </c>
      <c r="I7" s="4">
        <f>Table7[[#This Row],[P Units]]-Table7[[#This Row],[S Units]]</f>
        <v>3</v>
      </c>
      <c r="J7" s="19">
        <f>IFERROR(Table7[[#This Row],[Cost]]*Table7[[#This Row],[Stock]],"")</f>
        <v>103500</v>
      </c>
      <c r="K7" s="4" t="str">
        <f>IFERROR(IF(Table7[[#This Row],[Stock]]&lt;5,"📞 "&amp;Table7[[#This Row],[Product Name]]&amp;" Needs To Re-Order ! PH. "&amp;VLOOKUP(Table7[[#This Row],[HSN Code]],vendorsdata[#All],4,0),""),"")</f>
        <v>📞 Laptop HP xyz i5 Needs To Re-Order ! PH. 9812xxxxxx</v>
      </c>
      <c r="L7" s="4"/>
    </row>
    <row r="8" spans="2:18" x14ac:dyDescent="0.5">
      <c r="B8" s="14"/>
      <c r="D8" s="4" t="str">
        <f>IFERROR(Table4[[#This Row],[HSN Code]],"")</f>
        <v>N1003</v>
      </c>
      <c r="E8" s="4" t="str">
        <f>IFERROR(Table4[[#This Row],[Product Name]],"")</f>
        <v>Wireless Printer</v>
      </c>
      <c r="F8" s="4">
        <f>IFERROR(Table4[[#This Row],[Cost]],"")</f>
        <v>4600</v>
      </c>
      <c r="G8" s="4">
        <f>SUMIF(purchase[Product Name],Table7[[#This Row],[Product Name]],purchase[Units])</f>
        <v>40</v>
      </c>
      <c r="H8" s="4">
        <f>SUMIF(sales[Product Name],Table7[[#This Row],[Product Name]],sales[Units])</f>
        <v>5</v>
      </c>
      <c r="I8" s="4">
        <f>Table7[[#This Row],[P Units]]-Table7[[#This Row],[S Units]]</f>
        <v>35</v>
      </c>
      <c r="J8" s="19">
        <f>IFERROR(Table7[[#This Row],[Cost]]*Table7[[#This Row],[Stock]],"")</f>
        <v>161000</v>
      </c>
      <c r="K8" s="4" t="str">
        <f>IFERROR(IF(Table7[[#This Row],[Stock]]&lt;5,"📞 "&amp;Table7[[#This Row],[Product Name]]&amp;" Needs To Re-Order ! PH. "&amp;VLOOKUP(Table7[[#This Row],[HSN Code]],vendorsdata[#All],4,0),""),"")</f>
        <v/>
      </c>
      <c r="L8" s="4"/>
    </row>
    <row r="9" spans="2:18" x14ac:dyDescent="0.5">
      <c r="B9" s="14"/>
      <c r="D9" s="4" t="str">
        <f>IFERROR(Table4[[#This Row],[HSN Code]],"")</f>
        <v>N1004</v>
      </c>
      <c r="E9" s="4" t="str">
        <f>IFERROR(Table4[[#This Row],[Product Name]],"")</f>
        <v>Desktop</v>
      </c>
      <c r="F9" s="4">
        <f>IFERROR(Table4[[#This Row],[Cost]],"")</f>
        <v>21000</v>
      </c>
      <c r="G9" s="4">
        <f>SUMIF(purchase[Product Name],Table7[[#This Row],[Product Name]],purchase[Units])</f>
        <v>100</v>
      </c>
      <c r="H9" s="4">
        <f>SUMIF(sales[Product Name],Table7[[#This Row],[Product Name]],sales[Units])</f>
        <v>65</v>
      </c>
      <c r="I9" s="4">
        <f>Table7[[#This Row],[P Units]]-Table7[[#This Row],[S Units]]</f>
        <v>35</v>
      </c>
      <c r="J9" s="19">
        <f>IFERROR(Table7[[#This Row],[Cost]]*Table7[[#This Row],[Stock]],"")</f>
        <v>735000</v>
      </c>
      <c r="K9" s="4" t="str">
        <f>IFERROR(IF(Table7[[#This Row],[Stock]]&lt;5,"📞 "&amp;Table7[[#This Row],[Product Name]]&amp;" Needs To Re-Order ! PH. "&amp;VLOOKUP(Table7[[#This Row],[HSN Code]],vendorsdata[#All],4,0),""),"")</f>
        <v/>
      </c>
      <c r="L9" s="4"/>
    </row>
    <row r="10" spans="2:18" x14ac:dyDescent="0.5">
      <c r="B10" s="14" t="s">
        <v>0</v>
      </c>
      <c r="D10" s="4" t="str">
        <f>IFERROR(Table4[[#This Row],[HSN Code]],"")</f>
        <v>N1005</v>
      </c>
      <c r="E10" s="4" t="str">
        <f>IFERROR(Table4[[#This Row],[Product Name]],"")</f>
        <v>Mouse</v>
      </c>
      <c r="F10" s="4">
        <f>IFERROR(Table4[[#This Row],[Cost]],"")</f>
        <v>200</v>
      </c>
      <c r="G10" s="4">
        <f>SUMIF(purchase[Product Name],Table7[[#This Row],[Product Name]],purchase[Units])</f>
        <v>20</v>
      </c>
      <c r="H10" s="4">
        <f>SUMIF(sales[Product Name],Table7[[#This Row],[Product Name]],sales[Units])</f>
        <v>0</v>
      </c>
      <c r="I10" s="4">
        <f>Table7[[#This Row],[P Units]]-Table7[[#This Row],[S Units]]</f>
        <v>20</v>
      </c>
      <c r="J10" s="19">
        <f>IFERROR(Table7[[#This Row],[Cost]]*Table7[[#This Row],[Stock]],"")</f>
        <v>4000</v>
      </c>
      <c r="K10" s="4" t="str">
        <f>IFERROR(IF(Table7[[#This Row],[Stock]]&lt;5,"📞 "&amp;Table7[[#This Row],[Product Name]]&amp;" Needs To Re-Order ! PH. "&amp;VLOOKUP(Table7[[#This Row],[HSN Code]],vendorsdata[#All],4,0),""),"")</f>
        <v/>
      </c>
      <c r="L10" s="4"/>
    </row>
    <row r="11" spans="2:18" x14ac:dyDescent="0.5">
      <c r="B11" s="14"/>
      <c r="D11" s="4" t="str">
        <f>IFERROR(Table4[[#This Row],[HSN Code]],"")</f>
        <v>N1006</v>
      </c>
      <c r="E11" s="4" t="str">
        <f>IFERROR(Table4[[#This Row],[Product Name]],"")</f>
        <v>Rgb Keyboard</v>
      </c>
      <c r="F11" s="4">
        <f>IFERROR(Table4[[#This Row],[Cost]],"")</f>
        <v>340</v>
      </c>
      <c r="G11" s="4">
        <f>SUMIF(purchase[Product Name],Table7[[#This Row],[Product Name]],purchase[Units])</f>
        <v>50</v>
      </c>
      <c r="H11" s="4">
        <f>SUMIF(sales[Product Name],Table7[[#This Row],[Product Name]],sales[Units])</f>
        <v>37</v>
      </c>
      <c r="I11" s="4">
        <f>Table7[[#This Row],[P Units]]-Table7[[#This Row],[S Units]]</f>
        <v>13</v>
      </c>
      <c r="J11" s="19">
        <f>IFERROR(Table7[[#This Row],[Cost]]*Table7[[#This Row],[Stock]],"")</f>
        <v>4420</v>
      </c>
      <c r="K11" s="4" t="str">
        <f>IFERROR(IF(Table7[[#This Row],[Stock]]&lt;5,"📞 "&amp;Table7[[#This Row],[Product Name]]&amp;" Needs To Re-Order ! PH. "&amp;VLOOKUP(Table7[[#This Row],[HSN Code]],vendorsdata[#All],4,0),""),"")</f>
        <v/>
      </c>
      <c r="L11" s="4"/>
    </row>
    <row r="12" spans="2:18" x14ac:dyDescent="0.5">
      <c r="B12" s="14"/>
      <c r="D12" s="4" t="str">
        <f>IFERROR(Table4[[#This Row],[HSN Code]],"")</f>
        <v>N1007</v>
      </c>
      <c r="E12" s="4" t="str">
        <f>IFERROR(Table4[[#This Row],[Product Name]],"")</f>
        <v>Camera</v>
      </c>
      <c r="F12" s="4">
        <f>IFERROR(Table4[[#This Row],[Cost]],"")</f>
        <v>52000</v>
      </c>
      <c r="G12" s="4">
        <f>SUMIF(purchase[Product Name],Table7[[#This Row],[Product Name]],purchase[Units])</f>
        <v>22</v>
      </c>
      <c r="H12" s="4">
        <f>SUMIF(sales[Product Name],Table7[[#This Row],[Product Name]],sales[Units])</f>
        <v>8</v>
      </c>
      <c r="I12" s="4">
        <f>Table7[[#This Row],[P Units]]-Table7[[#This Row],[S Units]]</f>
        <v>14</v>
      </c>
      <c r="J12" s="19">
        <f>IFERROR(Table7[[#This Row],[Cost]]*Table7[[#This Row],[Stock]],"")</f>
        <v>728000</v>
      </c>
      <c r="K12" s="4" t="str">
        <f>IFERROR(IF(Table7[[#This Row],[Stock]]&lt;5,"📞 "&amp;Table7[[#This Row],[Product Name]]&amp;" Needs To Re-Order ! PH. "&amp;VLOOKUP(Table7[[#This Row],[HSN Code]],vendorsdata[#All],4,0),""),"")</f>
        <v/>
      </c>
      <c r="L12" s="4"/>
    </row>
    <row r="13" spans="2:18" x14ac:dyDescent="0.5">
      <c r="B13" s="14"/>
      <c r="D13" s="4" t="str">
        <f>IFERROR(Table4[[#This Row],[HSN Code]],"")</f>
        <v>N1008</v>
      </c>
      <c r="E13" s="4" t="str">
        <f>IFERROR(Table4[[#This Row],[Product Name]],"")</f>
        <v>Headphones</v>
      </c>
      <c r="F13" s="4">
        <f>IFERROR(Table4[[#This Row],[Cost]],"")</f>
        <v>799</v>
      </c>
      <c r="G13" s="4">
        <f>SUMIF(purchase[Product Name],Table7[[#This Row],[Product Name]],purchase[Units])</f>
        <v>55</v>
      </c>
      <c r="H13" s="4">
        <f>SUMIF(sales[Product Name],Table7[[#This Row],[Product Name]],sales[Units])</f>
        <v>42</v>
      </c>
      <c r="I13" s="4">
        <f>Table7[[#This Row],[P Units]]-Table7[[#This Row],[S Units]]</f>
        <v>13</v>
      </c>
      <c r="J13" s="19">
        <f>IFERROR(Table7[[#This Row],[Cost]]*Table7[[#This Row],[Stock]],"")</f>
        <v>10387</v>
      </c>
      <c r="K13" s="4" t="str">
        <f>IFERROR(IF(Table7[[#This Row],[Stock]]&lt;5,"📞 "&amp;Table7[[#This Row],[Product Name]]&amp;" Needs To Re-Order ! PH. "&amp;VLOOKUP(Table7[[#This Row],[HSN Code]],vendorsdata[#All],4,0),""),"")</f>
        <v/>
      </c>
      <c r="L13" s="4"/>
    </row>
    <row r="14" spans="2:18" x14ac:dyDescent="0.5">
      <c r="B14" s="14"/>
      <c r="D14" s="4" t="str">
        <f>IFERROR(Table4[[#This Row],[HSN Code]],"")</f>
        <v>N1009</v>
      </c>
      <c r="E14" s="4" t="str">
        <f>IFERROR(Table4[[#This Row],[Product Name]],"")</f>
        <v>Speakers</v>
      </c>
      <c r="F14" s="4">
        <f>IFERROR(Table4[[#This Row],[Cost]],"")</f>
        <v>670</v>
      </c>
      <c r="G14" s="4">
        <f>SUMIF(purchase[Product Name],Table7[[#This Row],[Product Name]],purchase[Units])</f>
        <v>55</v>
      </c>
      <c r="H14" s="4">
        <f>SUMIF(sales[Product Name],Table7[[#This Row],[Product Name]],sales[Units])</f>
        <v>52</v>
      </c>
      <c r="I14" s="4">
        <f>Table7[[#This Row],[P Units]]-Table7[[#This Row],[S Units]]</f>
        <v>3</v>
      </c>
      <c r="J14" s="19">
        <f>IFERROR(Table7[[#This Row],[Cost]]*Table7[[#This Row],[Stock]],"")</f>
        <v>2010</v>
      </c>
      <c r="K14" s="4" t="str">
        <f>IFERROR(IF(Table7[[#This Row],[Stock]]&lt;5,"📞 "&amp;Table7[[#This Row],[Product Name]]&amp;" Needs To Re-Order ! PH. "&amp;VLOOKUP(Table7[[#This Row],[HSN Code]],vendorsdata[#All],4,0),""),"")</f>
        <v>📞 Speakers Needs To Re-Order ! PH. 9814xxxxxx</v>
      </c>
    </row>
    <row r="15" spans="2:18" x14ac:dyDescent="0.5">
      <c r="B15" s="14"/>
      <c r="D15" s="4" t="str">
        <f>IFERROR(Table4[[#This Row],[HSN Code]],"")</f>
        <v>N1010</v>
      </c>
      <c r="E15" s="4" t="str">
        <f>IFERROR(Table4[[#This Row],[Product Name]],"")</f>
        <v>Tablets</v>
      </c>
      <c r="F15" s="4">
        <f>IFERROR(Table4[[#This Row],[Cost]],"")</f>
        <v>23500</v>
      </c>
      <c r="G15" s="4">
        <f>SUMIF(purchase[Product Name],Table7[[#This Row],[Product Name]],purchase[Units])</f>
        <v>40</v>
      </c>
      <c r="H15" s="4">
        <f>SUMIF(sales[Product Name],Table7[[#This Row],[Product Name]],sales[Units])</f>
        <v>37</v>
      </c>
      <c r="I15" s="4">
        <f>Table7[[#This Row],[P Units]]-Table7[[#This Row],[S Units]]</f>
        <v>3</v>
      </c>
      <c r="J15" s="19">
        <f>IFERROR(Table7[[#This Row],[Cost]]*Table7[[#This Row],[Stock]],"")</f>
        <v>70500</v>
      </c>
      <c r="K15" s="4" t="str">
        <f>IFERROR(IF(Table7[[#This Row],[Stock]]&lt;5,"📞 "&amp;Table7[[#This Row],[Product Name]]&amp;" Needs To Re-Order ! PH. "&amp;VLOOKUP(Table7[[#This Row],[HSN Code]],vendorsdata[#All],4,0),""),"")</f>
        <v>📞 Tablets Needs To Re-Order ! PH. 9814xxxxxx</v>
      </c>
    </row>
    <row r="16" spans="2:18" x14ac:dyDescent="0.5">
      <c r="B16" s="14"/>
      <c r="D16" s="4" t="str">
        <f>IFERROR(Table4[[#This Row],[HSN Code]],"")</f>
        <v/>
      </c>
      <c r="E16" s="4" t="str">
        <f>IFERROR(Table4[[#This Row],[Product Name]],"")</f>
        <v/>
      </c>
      <c r="F16" s="4" t="str">
        <f>IFERROR(Table4[[#This Row],[Cost]],"")</f>
        <v/>
      </c>
      <c r="G16" s="4">
        <f>SUMIF(purchase[Product Name],Table7[[#This Row],[Product Name]],purchase[Units])</f>
        <v>0</v>
      </c>
      <c r="H16" s="4">
        <f>SUMIF(sales[Product Name],Table7[[#This Row],[Product Name]],sales[Units])</f>
        <v>0</v>
      </c>
      <c r="I16" s="4">
        <f>Table7[[#This Row],[P Units]]-Table7[[#This Row],[S Units]]</f>
        <v>0</v>
      </c>
      <c r="J16" s="19" t="str">
        <f>IFERROR(Table7[[#This Row],[Cost]]*Table7[[#This Row],[Stock]],"")</f>
        <v/>
      </c>
      <c r="K16" s="4" t="str">
        <f>IFERROR(IF(Table7[[#This Row],[Stock]]&lt;5,"📞 "&amp;Table7[[#This Row],[Product Name]]&amp;" Needs To Re-Order ! PH. "&amp;VLOOKUP(Table7[[#This Row],[HSN Code]],vendorsdata[#All],4,0),""),"")</f>
        <v/>
      </c>
    </row>
    <row r="17" spans="2:11" x14ac:dyDescent="0.5">
      <c r="B17" s="14"/>
      <c r="D17" s="4" t="str">
        <f>IFERROR(Table4[[#This Row],[HSN Code]],"")</f>
        <v/>
      </c>
      <c r="E17" s="4" t="str">
        <f>IFERROR(Table4[[#This Row],[Product Name]],"")</f>
        <v/>
      </c>
      <c r="F17" s="4" t="str">
        <f>IFERROR(Table4[[#This Row],[Cost]],"")</f>
        <v/>
      </c>
      <c r="G17" s="4">
        <f>SUMIF(purchase[Product Name],Table7[[#This Row],[Product Name]],purchase[Units])</f>
        <v>0</v>
      </c>
      <c r="H17" s="4">
        <f>SUMIF(sales[Product Name],Table7[[#This Row],[Product Name]],sales[Units])</f>
        <v>0</v>
      </c>
      <c r="I17" s="4">
        <f>Table7[[#This Row],[P Units]]-Table7[[#This Row],[S Units]]</f>
        <v>0</v>
      </c>
      <c r="J17" s="19" t="str">
        <f>IFERROR(Table7[[#This Row],[Cost]]*Table7[[#This Row],[Stock]],"")</f>
        <v/>
      </c>
      <c r="K17" s="4" t="str">
        <f>IFERROR(IF(Table7[[#This Row],[Stock]]&lt;5,"📞 "&amp;Table7[[#This Row],[Product Name]]&amp;" Needs To Re-Order ! PH. "&amp;VLOOKUP(Table7[[#This Row],[HSN Code]],vendorsdata[#All],4,0),""),"")</f>
        <v/>
      </c>
    </row>
    <row r="18" spans="2:11" x14ac:dyDescent="0.5">
      <c r="B18" s="14"/>
      <c r="D18" s="4" t="str">
        <f>IFERROR(Table4[[#This Row],[HSN Code]],"")</f>
        <v/>
      </c>
      <c r="E18" s="4" t="str">
        <f>IFERROR(Table4[[#This Row],[Product Name]],"")</f>
        <v/>
      </c>
      <c r="F18" s="4" t="str">
        <f>IFERROR(Table4[[#This Row],[Cost]],"")</f>
        <v/>
      </c>
      <c r="G18" s="4">
        <f>SUMIF(purchase[Product Name],Table7[[#This Row],[Product Name]],purchase[Units])</f>
        <v>0</v>
      </c>
      <c r="H18" s="4">
        <f>SUMIF(sales[Product Name],Table7[[#This Row],[Product Name]],sales[Units])</f>
        <v>0</v>
      </c>
      <c r="I18" s="4">
        <f>Table7[[#This Row],[P Units]]-Table7[[#This Row],[S Units]]</f>
        <v>0</v>
      </c>
      <c r="J18" s="19" t="str">
        <f>IFERROR(Table7[[#This Row],[Cost]]*Table7[[#This Row],[Stock]],"")</f>
        <v/>
      </c>
      <c r="K18" s="4" t="str">
        <f>IFERROR(IF(Table7[[#This Row],[Stock]]&lt;5,"📞 "&amp;Table7[[#This Row],[Product Name]]&amp;" Needs To Re-Order ! PH. "&amp;VLOOKUP(Table7[[#This Row],[HSN Code]],vendorsdata[#All],4,0),""),"")</f>
        <v/>
      </c>
    </row>
    <row r="19" spans="2:11" x14ac:dyDescent="0.5">
      <c r="B19" s="15"/>
      <c r="D19" s="4" t="str">
        <f>IFERROR(Table4[[#This Row],[HSN Code]],"")</f>
        <v/>
      </c>
      <c r="E19" s="4" t="str">
        <f>IFERROR(Table4[[#This Row],[Product Name]],"")</f>
        <v/>
      </c>
      <c r="F19" s="4" t="str">
        <f>IFERROR(Table4[[#This Row],[Cost]],"")</f>
        <v/>
      </c>
      <c r="G19" s="4"/>
      <c r="H19" s="4"/>
      <c r="I19" s="4"/>
      <c r="J19" s="4"/>
    </row>
    <row r="20" spans="2:11" x14ac:dyDescent="0.5">
      <c r="B20" s="8"/>
      <c r="D20" s="4" t="str">
        <f>IFERROR(Table4[[#This Row],[HSN Code]],"")</f>
        <v/>
      </c>
      <c r="E20" s="4" t="str">
        <f>IFERROR(Table4[[#This Row],[Product Name]],"")</f>
        <v/>
      </c>
      <c r="F20" s="4" t="str">
        <f>IFERROR(Table4[[#This Row],[Cost]],"")</f>
        <v/>
      </c>
      <c r="G20" s="4"/>
      <c r="H20" s="4"/>
      <c r="I20" s="4"/>
      <c r="J20" s="4"/>
    </row>
    <row r="21" spans="2:11" x14ac:dyDescent="0.5">
      <c r="B21" s="8"/>
      <c r="D21" s="4" t="str">
        <f>IFERROR(Table4[[#This Row],[HSN Code]],"")</f>
        <v/>
      </c>
      <c r="E21" s="4" t="str">
        <f>IFERROR(Table4[[#This Row],[Product Name]],"")</f>
        <v/>
      </c>
      <c r="F21" s="4" t="str">
        <f>IFERROR(Table4[[#This Row],[Cost]],"")</f>
        <v/>
      </c>
      <c r="G21" s="4"/>
      <c r="H21" s="4"/>
      <c r="I21" s="4"/>
      <c r="J21" s="4"/>
    </row>
    <row r="22" spans="2:11" x14ac:dyDescent="0.5">
      <c r="B22" s="8"/>
      <c r="D22" s="4" t="str">
        <f>IFERROR(Table4[[#This Row],[HSN Code]],"")</f>
        <v/>
      </c>
      <c r="E22" s="4" t="str">
        <f>IFERROR(Table4[[#This Row],[Product Name]],"")</f>
        <v/>
      </c>
      <c r="F22" s="4" t="str">
        <f>IFERROR(Table4[[#This Row],[Cost]],"")</f>
        <v/>
      </c>
      <c r="G22" s="4"/>
      <c r="H22" s="4"/>
      <c r="I22" s="4"/>
      <c r="J22" s="4"/>
    </row>
    <row r="23" spans="2:11" x14ac:dyDescent="0.5">
      <c r="B23" s="8"/>
      <c r="D23" s="4" t="str">
        <f>IFERROR(Table4[[#This Row],[HSN Code]],"")</f>
        <v/>
      </c>
      <c r="E23" s="4" t="str">
        <f>IFERROR(Table4[[#This Row],[Product Name]],"")</f>
        <v/>
      </c>
      <c r="F23" s="4" t="str">
        <f>IFERROR(Table4[[#This Row],[Cost]],"")</f>
        <v/>
      </c>
      <c r="G23" s="4"/>
      <c r="H23" s="4"/>
      <c r="I23" s="4"/>
      <c r="J23" s="4"/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CAF9-BA04-4F2C-9A63-4295EE7B666C}">
  <dimension ref="A2:F32"/>
  <sheetViews>
    <sheetView showRowColHeaders="0" zoomScale="85" zoomScaleNormal="85" workbookViewId="0"/>
  </sheetViews>
  <sheetFormatPr defaultRowHeight="25.8" x14ac:dyDescent="0.5"/>
  <cols>
    <col min="1" max="1" width="13.1171875" bestFit="1" customWidth="1"/>
    <col min="3" max="3" width="13.1171875" customWidth="1"/>
    <col min="5" max="5" width="13.703125" bestFit="1" customWidth="1"/>
    <col min="6" max="6" width="11.46875" bestFit="1" customWidth="1"/>
  </cols>
  <sheetData>
    <row r="2" spans="1:6" x14ac:dyDescent="0.5">
      <c r="A2" t="s">
        <v>80</v>
      </c>
      <c r="C2" t="s">
        <v>81</v>
      </c>
      <c r="E2" s="11" t="s">
        <v>91</v>
      </c>
      <c r="F2" t="s">
        <v>84</v>
      </c>
    </row>
    <row r="3" spans="1:6" x14ac:dyDescent="0.5">
      <c r="A3">
        <v>7</v>
      </c>
      <c r="C3">
        <f>GETPIVOTDATA("Name",$A$2)</f>
        <v>7</v>
      </c>
      <c r="E3" s="12" t="s">
        <v>8</v>
      </c>
      <c r="F3" s="9">
        <v>252000</v>
      </c>
    </row>
    <row r="4" spans="1:6" x14ac:dyDescent="0.5">
      <c r="E4" s="12" t="s">
        <v>20</v>
      </c>
      <c r="F4" s="9">
        <v>362400</v>
      </c>
    </row>
    <row r="5" spans="1:6" x14ac:dyDescent="0.5">
      <c r="A5" t="s">
        <v>82</v>
      </c>
      <c r="C5" t="s">
        <v>83</v>
      </c>
      <c r="E5" s="12" t="s">
        <v>17</v>
      </c>
      <c r="F5" s="9">
        <v>405096</v>
      </c>
    </row>
    <row r="6" spans="1:6" x14ac:dyDescent="0.5">
      <c r="A6">
        <v>10</v>
      </c>
      <c r="C6">
        <f>GETPIVOTDATA("Product Name",$A$5)</f>
        <v>10</v>
      </c>
      <c r="E6" s="12" t="s">
        <v>11</v>
      </c>
      <c r="F6" s="9">
        <v>579600</v>
      </c>
    </row>
    <row r="7" spans="1:6" x14ac:dyDescent="0.5">
      <c r="E7" s="12" t="s">
        <v>14</v>
      </c>
      <c r="F7" s="9">
        <v>1400292</v>
      </c>
    </row>
    <row r="8" spans="1:6" x14ac:dyDescent="0.5">
      <c r="A8" t="s">
        <v>84</v>
      </c>
      <c r="C8" t="s">
        <v>85</v>
      </c>
      <c r="E8" s="12" t="s">
        <v>92</v>
      </c>
      <c r="F8" s="9">
        <v>2999388</v>
      </c>
    </row>
    <row r="9" spans="1:6" x14ac:dyDescent="0.5">
      <c r="A9" s="9">
        <v>5543995</v>
      </c>
      <c r="C9" s="10">
        <f>GETPIVOTDATA("Amount",$A$8)</f>
        <v>5543995</v>
      </c>
    </row>
    <row r="11" spans="1:6" x14ac:dyDescent="0.5">
      <c r="A11" t="s">
        <v>84</v>
      </c>
      <c r="C11" t="s">
        <v>86</v>
      </c>
    </row>
    <row r="12" spans="1:6" x14ac:dyDescent="0.5">
      <c r="A12" s="9">
        <v>3071877.6</v>
      </c>
      <c r="C12" s="10">
        <f>GETPIVOTDATA("Amount",$A$11)</f>
        <v>3071877.6</v>
      </c>
      <c r="E12" s="11" t="s">
        <v>91</v>
      </c>
      <c r="F12" t="s">
        <v>93</v>
      </c>
    </row>
    <row r="13" spans="1:6" x14ac:dyDescent="0.5">
      <c r="E13" s="12" t="s">
        <v>35</v>
      </c>
      <c r="F13">
        <v>14</v>
      </c>
    </row>
    <row r="14" spans="1:6" x14ac:dyDescent="0.5">
      <c r="E14" s="12" t="s">
        <v>48</v>
      </c>
      <c r="F14">
        <v>37</v>
      </c>
    </row>
    <row r="15" spans="1:6" x14ac:dyDescent="0.5">
      <c r="E15" s="12" t="s">
        <v>54</v>
      </c>
      <c r="F15">
        <v>42</v>
      </c>
    </row>
    <row r="16" spans="1:6" x14ac:dyDescent="0.5">
      <c r="A16" t="s">
        <v>88</v>
      </c>
      <c r="C16" t="s">
        <v>89</v>
      </c>
      <c r="E16" s="12" t="s">
        <v>59</v>
      </c>
      <c r="F16">
        <v>52</v>
      </c>
    </row>
    <row r="17" spans="1:6" x14ac:dyDescent="0.5">
      <c r="A17">
        <v>2984097</v>
      </c>
      <c r="C17" s="10">
        <f>GETPIVOTDATA("Stock Amt.",$A$16)</f>
        <v>2984097</v>
      </c>
      <c r="E17" s="12" t="s">
        <v>41</v>
      </c>
      <c r="F17">
        <v>65</v>
      </c>
    </row>
    <row r="18" spans="1:6" x14ac:dyDescent="0.5">
      <c r="E18" s="12" t="s">
        <v>92</v>
      </c>
      <c r="F18">
        <v>210</v>
      </c>
    </row>
    <row r="19" spans="1:6" x14ac:dyDescent="0.5">
      <c r="C19" t="s">
        <v>90</v>
      </c>
    </row>
    <row r="20" spans="1:6" x14ac:dyDescent="0.5">
      <c r="C20" s="10">
        <f>C12+C17-C9</f>
        <v>511979.59999999963</v>
      </c>
    </row>
    <row r="21" spans="1:6" x14ac:dyDescent="0.5">
      <c r="E21" s="11" t="s">
        <v>91</v>
      </c>
      <c r="F21" t="s">
        <v>94</v>
      </c>
    </row>
    <row r="22" spans="1:6" x14ac:dyDescent="0.5">
      <c r="E22" s="12" t="s">
        <v>51</v>
      </c>
      <c r="F22">
        <v>14</v>
      </c>
    </row>
    <row r="23" spans="1:6" x14ac:dyDescent="0.5">
      <c r="E23" s="12" t="s">
        <v>41</v>
      </c>
      <c r="F23">
        <v>35</v>
      </c>
    </row>
    <row r="24" spans="1:6" x14ac:dyDescent="0.5">
      <c r="E24" s="12" t="s">
        <v>54</v>
      </c>
      <c r="F24">
        <v>13</v>
      </c>
    </row>
    <row r="25" spans="1:6" x14ac:dyDescent="0.5">
      <c r="E25" s="12" t="s">
        <v>35</v>
      </c>
      <c r="F25">
        <v>16</v>
      </c>
    </row>
    <row r="26" spans="1:6" x14ac:dyDescent="0.5">
      <c r="E26" s="12" t="s">
        <v>45</v>
      </c>
      <c r="F26">
        <v>20</v>
      </c>
    </row>
    <row r="27" spans="1:6" x14ac:dyDescent="0.5">
      <c r="E27" s="12" t="s">
        <v>48</v>
      </c>
      <c r="F27">
        <v>13</v>
      </c>
    </row>
    <row r="28" spans="1:6" x14ac:dyDescent="0.5">
      <c r="E28" s="12" t="s">
        <v>31</v>
      </c>
      <c r="F28">
        <v>36</v>
      </c>
    </row>
    <row r="29" spans="1:6" x14ac:dyDescent="0.5">
      <c r="E29" s="12" t="s">
        <v>59</v>
      </c>
      <c r="F29">
        <v>3</v>
      </c>
    </row>
    <row r="30" spans="1:6" x14ac:dyDescent="0.5">
      <c r="E30" s="12" t="s">
        <v>62</v>
      </c>
      <c r="F30">
        <v>32</v>
      </c>
    </row>
    <row r="31" spans="1:6" x14ac:dyDescent="0.5">
      <c r="E31" s="12" t="s">
        <v>38</v>
      </c>
      <c r="F31">
        <v>35</v>
      </c>
    </row>
    <row r="32" spans="1:6" x14ac:dyDescent="0.5">
      <c r="E32" s="12" t="s">
        <v>92</v>
      </c>
      <c r="F32">
        <v>217</v>
      </c>
    </row>
  </sheetData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Dashboard</vt:lpstr>
      <vt:lpstr>Customers</vt:lpstr>
      <vt:lpstr>Vendors</vt:lpstr>
      <vt:lpstr>Products</vt:lpstr>
      <vt:lpstr>New Entry</vt:lpstr>
      <vt:lpstr>Purchase</vt:lpstr>
      <vt:lpstr>Sales</vt:lpstr>
      <vt:lpstr>Inventory</vt:lpstr>
      <vt:lpstr>pivot</vt:lpstr>
      <vt:lpstr>Cust_ID</vt:lpstr>
      <vt:lpstr>HSNCode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nehra</dc:creator>
  <cp:lastModifiedBy>Harsh Jadav</cp:lastModifiedBy>
  <dcterms:created xsi:type="dcterms:W3CDTF">2024-12-16T07:21:07Z</dcterms:created>
  <dcterms:modified xsi:type="dcterms:W3CDTF">2026-01-12T06:54:49Z</dcterms:modified>
</cp:coreProperties>
</file>